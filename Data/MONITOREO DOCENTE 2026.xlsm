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e11d48ea83385a6/Escritorio/"/>
    </mc:Choice>
  </mc:AlternateContent>
  <xr:revisionPtr revIDLastSave="690" documentId="13_ncr:1_{7B6F76E7-5D21-45D1-A5B6-E9A04784A984}" xr6:coauthVersionLast="47" xr6:coauthVersionMax="47" xr10:uidLastSave="{4B7A0D1B-CF05-474C-8F47-72E2B4A9B8E7}"/>
  <bookViews>
    <workbookView xWindow="-108" yWindow="-108" windowWidth="23256" windowHeight="13896" xr2:uid="{BB6C4C43-C706-4D84-8500-FB369DBF3DF3}"/>
  </bookViews>
  <sheets>
    <sheet name="BD_Monitoreo" sheetId="1" r:id="rId1"/>
    <sheet name="Config" sheetId="2" state="hidden" r:id="rId2"/>
    <sheet name="Procesamiento" sheetId="4" state="hidden" r:id="rId3"/>
    <sheet name="Dashboard" sheetId="6" r:id="rId4"/>
  </sheets>
  <definedNames>
    <definedName name="SegmentaciónDeDatos_Área">#N/A</definedName>
    <definedName name="SegmentaciónDeDatos_Grado">#N/A</definedName>
    <definedName name="SegmentaciónDeDatos_Nombre_del_Docente">#N/A</definedName>
    <definedName name="SegmentaciónDeDatos_Sección">#N/A</definedName>
  </definedNames>
  <calcPr calcId="191029"/>
  <pivotCaches>
    <pivotCache cacheId="12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7" i="4" l="1"/>
  <c r="J33" i="4"/>
  <c r="J25" i="4"/>
  <c r="J1" i="4"/>
  <c r="J9" i="4"/>
</calcChain>
</file>

<file path=xl/sharedStrings.xml><?xml version="1.0" encoding="utf-8"?>
<sst xmlns="http://schemas.openxmlformats.org/spreadsheetml/2006/main" count="130" uniqueCount="72">
  <si>
    <t>Fecha</t>
  </si>
  <si>
    <t>DNI del Docente</t>
  </si>
  <si>
    <t>Nombre del Docente</t>
  </si>
  <si>
    <t>Área</t>
  </si>
  <si>
    <t>Grado</t>
  </si>
  <si>
    <t>Sección</t>
  </si>
  <si>
    <t>INVOLUCRA ACTIVAMENTE A LOS ESTUDIANTES EN EL PROCESO DE APRENDIZAJE</t>
  </si>
  <si>
    <t>PROMUEVA EL RAZONAMIENTO, LA CREATIVIDAD Y/O EL PENSAMIENTO CRÍTICO</t>
  </si>
  <si>
    <t>EVALÚA EL PROGRESO DE LOS APRENDIZAJES PARA RETROALIMENTAR A LOS ESTUDIANTES Y ADECUAR SU ENSEÑANZA</t>
  </si>
  <si>
    <t>PROPICIA UN AMBIENTE DE RESPETO Y PROXIMIDAD</t>
  </si>
  <si>
    <t>REGULA POSITIVAMENTE EL COMPORTAMIENTO DE LOS ESTUDIANTES</t>
  </si>
  <si>
    <t>1°</t>
  </si>
  <si>
    <t>Única</t>
  </si>
  <si>
    <t>Matemática</t>
  </si>
  <si>
    <t>2°</t>
  </si>
  <si>
    <t>A</t>
  </si>
  <si>
    <t xml:space="preserve">Comunicación </t>
  </si>
  <si>
    <t>3°</t>
  </si>
  <si>
    <t>B</t>
  </si>
  <si>
    <t xml:space="preserve">Ciencia y Tecnología </t>
  </si>
  <si>
    <t>4°</t>
  </si>
  <si>
    <t>C</t>
  </si>
  <si>
    <t>Ciencias Sociales</t>
  </si>
  <si>
    <t>5°</t>
  </si>
  <si>
    <t>D</t>
  </si>
  <si>
    <t>Desarrollo Personal, Ciudadanía y Cívica</t>
  </si>
  <si>
    <t>E</t>
  </si>
  <si>
    <t>Educación Física</t>
  </si>
  <si>
    <t>F</t>
  </si>
  <si>
    <t>Arte y Cultura</t>
  </si>
  <si>
    <t>G</t>
  </si>
  <si>
    <t>Inglés</t>
  </si>
  <si>
    <t>H</t>
  </si>
  <si>
    <t>Educación Religiosa</t>
  </si>
  <si>
    <t>I</t>
  </si>
  <si>
    <t>Educación para el Trabajo</t>
  </si>
  <si>
    <t>J</t>
  </si>
  <si>
    <t>K</t>
  </si>
  <si>
    <t>L</t>
  </si>
  <si>
    <t>M</t>
  </si>
  <si>
    <t>N</t>
  </si>
  <si>
    <t>Ñ</t>
  </si>
  <si>
    <t>O</t>
  </si>
  <si>
    <t>P</t>
  </si>
  <si>
    <t>Etiquetas de fila</t>
  </si>
  <si>
    <t>Total general</t>
  </si>
  <si>
    <t>Cuenta de DNI del Docente</t>
  </si>
  <si>
    <t>MONITOREO DOCENTE 2026</t>
  </si>
  <si>
    <t>12345678</t>
  </si>
  <si>
    <t>José</t>
  </si>
  <si>
    <t>87654321</t>
  </si>
  <si>
    <t>María</t>
  </si>
  <si>
    <t>78451296</t>
  </si>
  <si>
    <t>Raúl</t>
  </si>
  <si>
    <t>96325874</t>
  </si>
  <si>
    <t>Jorge</t>
  </si>
  <si>
    <t>MUY DEFICIENTE</t>
  </si>
  <si>
    <t>EN PROCESO</t>
  </si>
  <si>
    <t>SUFICIENTE</t>
  </si>
  <si>
    <t>DESTACADO</t>
  </si>
  <si>
    <t>95147532</t>
  </si>
  <si>
    <t>15987453</t>
  </si>
  <si>
    <t>01234569</t>
  </si>
  <si>
    <t>Raquel</t>
  </si>
  <si>
    <t>Sofía</t>
  </si>
  <si>
    <t>Ruth</t>
  </si>
  <si>
    <t>03489512</t>
  </si>
  <si>
    <t>Paul</t>
  </si>
  <si>
    <t>98747897</t>
  </si>
  <si>
    <t>Miguel</t>
  </si>
  <si>
    <t>75478457</t>
  </si>
  <si>
    <t>Rafaela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</si>
</sst>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36"/>
      <color theme="1"/>
      <name val="Bodoni Poster"/>
      <family val="1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Protection="1"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" fontId="0" fillId="0" borderId="1" xfId="0" applyNumberFormat="1" applyBorder="1" applyAlignment="1" applyProtection="1">
      <alignment horizontal="center" wrapText="1"/>
      <protection locked="0"/>
    </xf>
    <xf numFmtId="0" fontId="0" fillId="0" borderId="1" xfId="0" applyBorder="1" applyAlignment="1" applyProtection="1">
      <alignment horizontal="center" wrapText="1"/>
      <protection locked="0"/>
    </xf>
    <xf numFmtId="0" fontId="0" fillId="0" borderId="0" xfId="0" applyAlignment="1">
      <alignment horizontal="center" wrapText="1"/>
    </xf>
    <xf numFmtId="0" fontId="0" fillId="2" borderId="0" xfId="0" applyFill="1"/>
    <xf numFmtId="14" fontId="0" fillId="0" borderId="2" xfId="0" applyNumberFormat="1" applyBorder="1" applyAlignment="1" applyProtection="1">
      <alignment horizontal="center"/>
      <protection locked="0"/>
    </xf>
    <xf numFmtId="49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1" fontId="0" fillId="0" borderId="3" xfId="0" applyNumberFormat="1" applyBorder="1" applyAlignment="1" applyProtection="1">
      <alignment horizontal="center" wrapText="1"/>
      <protection locked="0"/>
    </xf>
    <xf numFmtId="1" fontId="0" fillId="0" borderId="4" xfId="0" applyNumberFormat="1" applyBorder="1" applyAlignment="1" applyProtection="1">
      <alignment horizontal="center" wrapText="1"/>
      <protection locked="0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13">
    <dxf>
      <numFmt numFmtId="1" formatCode="0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numFmt numFmtId="1" formatCode="0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" formatCode="0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" formatCode="0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" formatCode="0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" formatCode="@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general" vertical="bottom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[MONITOREO DOCENTE 2026.xlsm]Procesamiento!TablaDinámica9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/>
              <a:t>INVOLUCRA ACTIVAMENTE A LOS ESTUDIANTES EN EL PROCESO DE APRENDIZAJE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Procesamiento!$B$1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8CE-44CA-8CBE-63B9A03C251A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8CE-44CA-8CBE-63B9A03C251A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FA8-4783-8B9D-FCE3E5132E1A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144-4393-9B7B-63F7C1B082B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Procesamiento!$A$2:$A$6</c:f>
              <c:strCache>
                <c:ptCount val="4"/>
                <c:pt idx="0">
                  <c:v>DESTACADO</c:v>
                </c:pt>
                <c:pt idx="1">
                  <c:v>EN PROCESO</c:v>
                </c:pt>
                <c:pt idx="2">
                  <c:v>MUY DEFICIENTE</c:v>
                </c:pt>
                <c:pt idx="3">
                  <c:v>SUFICIENTE</c:v>
                </c:pt>
              </c:strCache>
            </c:strRef>
          </c:cat>
          <c:val>
            <c:numRef>
              <c:f>Procesamiento!$B$2:$B$6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ED6-4E20-ABFB-F4F18EC897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[MONITOREO DOCENTE 2026.xlsm]Procesamiento!TablaDinámica10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/>
              <a:t>PROMUEVA EL RAZONAMIENTO, LA CREATIVIDAD Y/O EL PENSAMIENTO CRÍTICO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Procesamiento!$B$9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5BE-4A5E-9BF4-D5D394564DE7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5BE-4A5E-9BF4-D5D394564DE7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5BE-4A5E-9BF4-D5D394564DE7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5BE-4A5E-9BF4-D5D394564DE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5BE-4A5E-9BF4-D5D394564D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Procesamiento!$A$10:$A$14</c:f>
              <c:strCache>
                <c:ptCount val="4"/>
                <c:pt idx="0">
                  <c:v>DESTACADO</c:v>
                </c:pt>
                <c:pt idx="1">
                  <c:v>EN PROCESO</c:v>
                </c:pt>
                <c:pt idx="2">
                  <c:v>MUY DEFICIENTE</c:v>
                </c:pt>
                <c:pt idx="3">
                  <c:v>SUFICIENTE</c:v>
                </c:pt>
              </c:strCache>
            </c:strRef>
          </c:cat>
          <c:val>
            <c:numRef>
              <c:f>Procesamiento!$B$10:$B$14</c:f>
              <c:numCache>
                <c:formatCode>General</c:formatCode>
                <c:ptCount val="4"/>
                <c:pt idx="0">
                  <c:v>2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BE-4A5E-9BF4-D5D394564D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[MONITOREO DOCENTE 2026.xlsm]Procesamiento!TablaDinámica1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/>
              <a:t>EVALÚA EL PROGRESO DE LOS APRENDIZAJES PARA RETROALIMENTAR A LOS ESTUDIANTES Y ADECUAR SU ENSEÑANZA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Procesamiento!$B$17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EE0-4229-A7DA-796D9A66CCBA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EE0-4229-A7DA-796D9A66CCBA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EE0-4229-A7DA-796D9A66CCBA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EE0-4229-A7DA-796D9A66CCB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EE0-4229-A7DA-796D9A66CCB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Procesamiento!$A$18:$A$22</c:f>
              <c:strCache>
                <c:ptCount val="4"/>
                <c:pt idx="0">
                  <c:v>DESTACADO</c:v>
                </c:pt>
                <c:pt idx="1">
                  <c:v>EN PROCESO</c:v>
                </c:pt>
                <c:pt idx="2">
                  <c:v>MUY DEFICIENTE</c:v>
                </c:pt>
                <c:pt idx="3">
                  <c:v>SUFICIENTE</c:v>
                </c:pt>
              </c:strCache>
            </c:strRef>
          </c:cat>
          <c:val>
            <c:numRef>
              <c:f>Procesamiento!$B$18:$B$22</c:f>
              <c:numCache>
                <c:formatCode>General</c:formatCode>
                <c:ptCount val="4"/>
                <c:pt idx="0">
                  <c:v>2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EE0-4229-A7DA-796D9A66CCB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[MONITOREO DOCENTE 2026.xlsm]Procesamiento!TablaDinámica2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/>
              <a:t>PROPICIA UN AMBIENTE DE RESPETO Y PROXIMIDAD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Procesamiento!$B$25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C1-424E-9C7B-3D97D36E3697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C1-424E-9C7B-3D97D36E3697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3C1-424E-9C7B-3D97D36E3697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3C1-424E-9C7B-3D97D36E369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3C1-424E-9C7B-3D97D36E36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Procesamiento!$A$26:$A$30</c:f>
              <c:strCache>
                <c:ptCount val="4"/>
                <c:pt idx="0">
                  <c:v>DESTACADO</c:v>
                </c:pt>
                <c:pt idx="1">
                  <c:v>EN PROCESO</c:v>
                </c:pt>
                <c:pt idx="2">
                  <c:v>MUY DEFICIENTE</c:v>
                </c:pt>
                <c:pt idx="3">
                  <c:v>SUFICIENTE</c:v>
                </c:pt>
              </c:strCache>
            </c:strRef>
          </c:cat>
          <c:val>
            <c:numRef>
              <c:f>Procesamiento!$B$26:$B$30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3C1-424E-9C7B-3D97D36E3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[MONITOREO DOCENTE 2026.xlsm]Procesamiento!TablaDinámica3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/>
              <a:t>REGULA POSITIVAMENTE EL COMPORTAMIENTO DE LOS ESTUDIANTES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Procesamiento!$B$33</c:f>
              <c:strCache>
                <c:ptCount val="1"/>
                <c:pt idx="0">
                  <c:v>Total</c:v>
                </c:pt>
              </c:strCache>
            </c:strRef>
          </c:tx>
          <c:explosion val="3"/>
          <c:dPt>
            <c:idx val="0"/>
            <c:bubble3D val="0"/>
            <c:explosion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7FB-4613-8CC3-F21DF9E95E5D}"/>
              </c:ext>
            </c:extLst>
          </c:dPt>
          <c:dPt>
            <c:idx val="1"/>
            <c:bubble3D val="0"/>
            <c:explosion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7FB-4613-8CC3-F21DF9E95E5D}"/>
              </c:ext>
            </c:extLst>
          </c:dPt>
          <c:dPt>
            <c:idx val="2"/>
            <c:bubble3D val="0"/>
            <c:explosion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7FB-4613-8CC3-F21DF9E95E5D}"/>
              </c:ext>
            </c:extLst>
          </c:dPt>
          <c:dPt>
            <c:idx val="3"/>
            <c:bubble3D val="0"/>
            <c:explosion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7FB-4613-8CC3-F21DF9E95E5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7FB-4613-8CC3-F21DF9E95E5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Procesamiento!$A$34:$A$38</c:f>
              <c:strCache>
                <c:ptCount val="4"/>
                <c:pt idx="0">
                  <c:v>DESTACADO</c:v>
                </c:pt>
                <c:pt idx="1">
                  <c:v>EN PROCESO</c:v>
                </c:pt>
                <c:pt idx="2">
                  <c:v>MUY DEFICIENTE</c:v>
                </c:pt>
                <c:pt idx="3">
                  <c:v>SUFICIENTE</c:v>
                </c:pt>
              </c:strCache>
            </c:strRef>
          </c:cat>
          <c:val>
            <c:numRef>
              <c:f>Procesamiento!$B$34:$B$38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FB-4613-8CC3-F21DF9E95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microsoft.com/office/2007/relationships/hdphoto" Target="../media/hdphoto1.wdp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6</xdr:col>
      <xdr:colOff>0</xdr:colOff>
      <xdr:row>16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0</xdr:colOff>
      <xdr:row>2</xdr:row>
      <xdr:rowOff>0</xdr:rowOff>
    </xdr:from>
    <xdr:to>
      <xdr:col>12</xdr:col>
      <xdr:colOff>0</xdr:colOff>
      <xdr:row>16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12</xdr:col>
      <xdr:colOff>0</xdr:colOff>
      <xdr:row>2</xdr:row>
      <xdr:rowOff>0</xdr:rowOff>
    </xdr:from>
    <xdr:to>
      <xdr:col>18</xdr:col>
      <xdr:colOff>0</xdr:colOff>
      <xdr:row>16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3</xdr:col>
      <xdr:colOff>0</xdr:colOff>
      <xdr:row>17</xdr:row>
      <xdr:rowOff>0</xdr:rowOff>
    </xdr:from>
    <xdr:to>
      <xdr:col>9</xdr:col>
      <xdr:colOff>0</xdr:colOff>
      <xdr:row>31</xdr:row>
      <xdr:rowOff>76200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9</xdr:col>
      <xdr:colOff>0</xdr:colOff>
      <xdr:row>17</xdr:row>
      <xdr:rowOff>0</xdr:rowOff>
    </xdr:from>
    <xdr:to>
      <xdr:col>15</xdr:col>
      <xdr:colOff>0</xdr:colOff>
      <xdr:row>31</xdr:row>
      <xdr:rowOff>76200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17</xdr:col>
      <xdr:colOff>366000</xdr:colOff>
      <xdr:row>8</xdr:row>
      <xdr:rowOff>174600</xdr:rowOff>
    </xdr:from>
    <xdr:to>
      <xdr:col>19</xdr:col>
      <xdr:colOff>642000</xdr:colOff>
      <xdr:row>16</xdr:row>
      <xdr:rowOff>90600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Nombre del Docente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del Doc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20000" y="2232000"/>
              <a:ext cx="1800000" cy="14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absolute">
    <xdr:from>
      <xdr:col>17</xdr:col>
      <xdr:colOff>366000</xdr:colOff>
      <xdr:row>1</xdr:row>
      <xdr:rowOff>15150</xdr:rowOff>
    </xdr:from>
    <xdr:to>
      <xdr:col>19</xdr:col>
      <xdr:colOff>642000</xdr:colOff>
      <xdr:row>8</xdr:row>
      <xdr:rowOff>102600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Área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Áre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20000" y="720000"/>
              <a:ext cx="1800000" cy="14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absolute">
    <xdr:from>
      <xdr:col>17</xdr:col>
      <xdr:colOff>366000</xdr:colOff>
      <xdr:row>16</xdr:row>
      <xdr:rowOff>162600</xdr:rowOff>
    </xdr:from>
    <xdr:to>
      <xdr:col>19</xdr:col>
      <xdr:colOff>642000</xdr:colOff>
      <xdr:row>24</xdr:row>
      <xdr:rowOff>78600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Grado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20000" y="3744000"/>
              <a:ext cx="1800000" cy="14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absolute">
    <xdr:from>
      <xdr:col>17</xdr:col>
      <xdr:colOff>366000</xdr:colOff>
      <xdr:row>24</xdr:row>
      <xdr:rowOff>150600</xdr:rowOff>
    </xdr:from>
    <xdr:to>
      <xdr:col>19</xdr:col>
      <xdr:colOff>642000</xdr:colOff>
      <xdr:row>32</xdr:row>
      <xdr:rowOff>66600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Sección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20000" y="5256000"/>
              <a:ext cx="1800000" cy="14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2</xdr:col>
      <xdr:colOff>333375</xdr:colOff>
      <xdr:row>7</xdr:row>
      <xdr:rowOff>57150</xdr:rowOff>
    </xdr:from>
    <xdr:to>
      <xdr:col>3</xdr:col>
      <xdr:colOff>390525</xdr:colOff>
      <xdr:row>10</xdr:row>
      <xdr:rowOff>152400</xdr:rowOff>
    </xdr:to>
    <xdr:sp macro="" textlink="Procesamiento!$J$1">
      <xdr:nvSpPr>
        <xdr:cNvPr id="12" name="CuadroText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857375" y="1924050"/>
          <a:ext cx="819150" cy="666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9F1FA9-7DA4-4DF0-ABAB-E76FA4BBEBDD}" type="TxLink">
            <a:rPr lang="en-US" sz="3200" b="0" i="0" u="none" strike="noStrike">
              <a:solidFill>
                <a:srgbClr val="000000"/>
              </a:solidFill>
              <a:latin typeface="Bodoni Poster" panose="02070A04080905020204" pitchFamily="18" charset="0"/>
              <a:ea typeface="Calibri"/>
              <a:cs typeface="Calibri"/>
            </a:rPr>
            <a:pPr algn="ctr"/>
            <a:t>10</a:t>
          </a:fld>
          <a:endParaRPr lang="es-PE" sz="4400">
            <a:latin typeface="Bodoni Poster" panose="02070A04080905020204" pitchFamily="18" charset="0"/>
          </a:endParaRPr>
        </a:p>
      </xdr:txBody>
    </xdr:sp>
    <xdr:clientData/>
  </xdr:twoCellAnchor>
  <xdr:twoCellAnchor>
    <xdr:from>
      <xdr:col>8</xdr:col>
      <xdr:colOff>342900</xdr:colOff>
      <xdr:row>7</xdr:row>
      <xdr:rowOff>47625</xdr:rowOff>
    </xdr:from>
    <xdr:to>
      <xdr:col>9</xdr:col>
      <xdr:colOff>400050</xdr:colOff>
      <xdr:row>10</xdr:row>
      <xdr:rowOff>142875</xdr:rowOff>
    </xdr:to>
    <xdr:sp macro="" textlink="Procesamiento!$J$9">
      <xdr:nvSpPr>
        <xdr:cNvPr id="13" name="CuadroText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6438900" y="1000125"/>
          <a:ext cx="819150" cy="666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85AA2E-515D-4FCB-A50C-7E7D2BE9B31E}" type="TxLink">
            <a:rPr lang="en-US" sz="3200" b="0" i="0" u="none" strike="noStrike">
              <a:solidFill>
                <a:srgbClr val="000000"/>
              </a:solidFill>
              <a:latin typeface="Bodoni Poster" panose="02070A04080905020204" pitchFamily="18" charset="0"/>
              <a:ea typeface="Calibri"/>
              <a:cs typeface="Calibri"/>
            </a:rPr>
            <a:pPr algn="ctr"/>
            <a:t>10</a:t>
          </a:fld>
          <a:endParaRPr lang="es-PE" sz="4400">
            <a:latin typeface="Bodoni Poster" panose="02070A04080905020204" pitchFamily="18" charset="0"/>
          </a:endParaRPr>
        </a:p>
      </xdr:txBody>
    </xdr:sp>
    <xdr:clientData/>
  </xdr:twoCellAnchor>
  <xdr:twoCellAnchor>
    <xdr:from>
      <xdr:col>14</xdr:col>
      <xdr:colOff>352425</xdr:colOff>
      <xdr:row>7</xdr:row>
      <xdr:rowOff>133350</xdr:rowOff>
    </xdr:from>
    <xdr:to>
      <xdr:col>15</xdr:col>
      <xdr:colOff>409575</xdr:colOff>
      <xdr:row>11</xdr:row>
      <xdr:rowOff>38100</xdr:rowOff>
    </xdr:to>
    <xdr:sp macro="" textlink="Procesamiento!$J$17">
      <xdr:nvSpPr>
        <xdr:cNvPr id="14" name="CuadroText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020425" y="1085850"/>
          <a:ext cx="819150" cy="666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DD752DE-E05F-478C-B1E5-19D4E3D40589}" type="TxLink">
            <a:rPr lang="en-US" sz="3600" b="0" i="0" u="none" strike="noStrike">
              <a:solidFill>
                <a:srgbClr val="000000"/>
              </a:solidFill>
              <a:latin typeface="Bodoni Poster" panose="02070A04080905020204" pitchFamily="18" charset="0"/>
              <a:ea typeface="Calibri"/>
              <a:cs typeface="Calibri"/>
            </a:rPr>
            <a:pPr algn="ctr"/>
            <a:t>10</a:t>
          </a:fld>
          <a:endParaRPr lang="es-PE" sz="4400">
            <a:latin typeface="Bodoni Poster" panose="02070A04080905020204" pitchFamily="18" charset="0"/>
          </a:endParaRPr>
        </a:p>
      </xdr:txBody>
    </xdr:sp>
    <xdr:clientData/>
  </xdr:twoCellAnchor>
  <xdr:twoCellAnchor>
    <xdr:from>
      <xdr:col>5</xdr:col>
      <xdr:colOff>342900</xdr:colOff>
      <xdr:row>22</xdr:row>
      <xdr:rowOff>66675</xdr:rowOff>
    </xdr:from>
    <xdr:to>
      <xdr:col>6</xdr:col>
      <xdr:colOff>400050</xdr:colOff>
      <xdr:row>25</xdr:row>
      <xdr:rowOff>161925</xdr:rowOff>
    </xdr:to>
    <xdr:sp macro="" textlink="Procesamiento!$J$25">
      <xdr:nvSpPr>
        <xdr:cNvPr id="15" name="CuadroText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4152900" y="3876675"/>
          <a:ext cx="819150" cy="666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63B8E8-DC1B-4B6D-BA94-19D4206120B9}" type="TxLink">
            <a:rPr lang="en-US" sz="3200" b="0" i="0" u="none" strike="noStrike">
              <a:solidFill>
                <a:srgbClr val="000000"/>
              </a:solidFill>
              <a:latin typeface="Bodoni Poster" panose="02070A04080905020204" pitchFamily="18" charset="0"/>
              <a:ea typeface="Calibri"/>
              <a:cs typeface="Calibri"/>
            </a:rPr>
            <a:pPr algn="ctr"/>
            <a:t>10</a:t>
          </a:fld>
          <a:endParaRPr lang="es-PE" sz="4400">
            <a:latin typeface="Bodoni Poster" panose="02070A04080905020204" pitchFamily="18" charset="0"/>
          </a:endParaRPr>
        </a:p>
      </xdr:txBody>
    </xdr:sp>
    <xdr:clientData/>
  </xdr:twoCellAnchor>
  <xdr:twoCellAnchor>
    <xdr:from>
      <xdr:col>11</xdr:col>
      <xdr:colOff>352425</xdr:colOff>
      <xdr:row>22</xdr:row>
      <xdr:rowOff>57150</xdr:rowOff>
    </xdr:from>
    <xdr:to>
      <xdr:col>12</xdr:col>
      <xdr:colOff>409575</xdr:colOff>
      <xdr:row>25</xdr:row>
      <xdr:rowOff>152400</xdr:rowOff>
    </xdr:to>
    <xdr:sp macro="" textlink="Procesamiento!$J$33">
      <xdr:nvSpPr>
        <xdr:cNvPr id="16" name="CuadroText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8734425" y="3867150"/>
          <a:ext cx="819150" cy="666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815FFEC-8F20-4031-B6A6-2BDECB12530E}" type="TxLink">
            <a:rPr lang="en-US" sz="3200" b="0" i="0" u="none" strike="noStrike">
              <a:solidFill>
                <a:srgbClr val="000000"/>
              </a:solidFill>
              <a:latin typeface="Bodoni Poster" panose="02070A04080905020204" pitchFamily="18" charset="0"/>
              <a:ea typeface="Calibri"/>
              <a:cs typeface="Calibri"/>
            </a:rPr>
            <a:pPr algn="ctr"/>
            <a:t>10</a:t>
          </a:fld>
          <a:endParaRPr lang="es-PE" sz="4400">
            <a:latin typeface="Bodoni Poster" panose="02070A04080905020204" pitchFamily="18" charset="0"/>
          </a:endParaRPr>
        </a:p>
      </xdr:txBody>
    </xdr:sp>
    <xdr:clientData/>
  </xdr:twoCellAnchor>
  <xdr:twoCellAnchor editAs="absolute">
    <xdr:from>
      <xdr:col>7</xdr:col>
      <xdr:colOff>628650</xdr:colOff>
      <xdr:row>33</xdr:row>
      <xdr:rowOff>1994</xdr:rowOff>
    </xdr:from>
    <xdr:to>
      <xdr:col>10</xdr:col>
      <xdr:colOff>247650</xdr:colOff>
      <xdr:row>35</xdr:row>
      <xdr:rowOff>21044</xdr:rowOff>
    </xdr:to>
    <xdr:sp macro="[0]!ActualizarTodo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>
          <a:spLocks noChangeAspect="1"/>
        </xdr:cNvSpPr>
      </xdr:nvSpPr>
      <xdr:spPr>
        <a:xfrm>
          <a:off x="6138496" y="6625532"/>
          <a:ext cx="1980363" cy="38749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>
              <a:latin typeface="Bodoni Poster" panose="02070A04080905020204" pitchFamily="18" charset="0"/>
            </a:rPr>
            <a:t>ACTUALIZAR</a:t>
          </a:r>
          <a:endParaRPr lang="es-PE" sz="1000">
            <a:latin typeface="Bodoni Poster" panose="02070A04080905020204" pitchFamily="18" charset="0"/>
          </a:endParaRPr>
        </a:p>
      </xdr:txBody>
    </xdr:sp>
    <xdr:clientData/>
  </xdr:twoCellAnchor>
  <xdr:twoCellAnchor editAs="oneCell">
    <xdr:from>
      <xdr:col>2</xdr:col>
      <xdr:colOff>457200</xdr:colOff>
      <xdr:row>0</xdr:row>
      <xdr:rowOff>66675</xdr:rowOff>
    </xdr:from>
    <xdr:to>
      <xdr:col>3</xdr:col>
      <xdr:colOff>409575</xdr:colOff>
      <xdr:row>1</xdr:row>
      <xdr:rowOff>76200</xdr:rowOff>
    </xdr:to>
    <xdr:pic>
      <xdr:nvPicPr>
        <xdr:cNvPr id="18" name="Imagen 17" descr="Unidad de Gestion Educativa Local Puno • &quot;Nuestra UGEL, Tú UGEL&quot;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4889" b="92889" l="9778" r="89778">
                      <a14:foregroundMark x1="55556" y1="9333" x2="55556" y2="9333"/>
                      <a14:foregroundMark x1="56000" y1="5333" x2="56000" y2="5333"/>
                      <a14:foregroundMark x1="62667" y1="92000" x2="62667" y2="92000"/>
                      <a14:foregroundMark x1="60889" y1="92444" x2="60889" y2="92444"/>
                      <a14:foregroundMark x1="60889" y1="92889" x2="60889" y2="9288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0" y="66675"/>
          <a:ext cx="71437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409576</xdr:colOff>
      <xdr:row>0</xdr:row>
      <xdr:rowOff>136897</xdr:rowOff>
    </xdr:from>
    <xdr:to>
      <xdr:col>16</xdr:col>
      <xdr:colOff>447676</xdr:colOff>
      <xdr:row>1</xdr:row>
      <xdr:rowOff>28574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077576" y="136897"/>
          <a:ext cx="1562100" cy="5965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617220</xdr:colOff>
          <xdr:row>34</xdr:row>
          <xdr:rowOff>0</xdr:rowOff>
        </xdr:from>
        <xdr:to>
          <xdr:col>19</xdr:col>
          <xdr:colOff>464820</xdr:colOff>
          <xdr:row>35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ADMINISTRAR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SUS" refreshedDate="46133.805488773149" missingItemsLimit="0" createdVersion="7" refreshedVersion="8" minRefreshableVersion="3" recordCount="99" xr:uid="{2C0D719F-B552-4EA9-9E65-D07DCABD6433}">
  <cacheSource type="worksheet">
    <worksheetSource ref="A1:K100" sheet="BD_Monitoreo"/>
  </cacheSource>
  <cacheFields count="11">
    <cacheField name="Fecha" numFmtId="0">
      <sharedItems containsNonDate="0" containsDate="1" containsString="0" containsBlank="1" minDate="2026-04-21T00:00:00" maxDate="2026-04-25T00:00:00"/>
    </cacheField>
    <cacheField name="DNI del Docente" numFmtId="49">
      <sharedItems containsBlank="1"/>
    </cacheField>
    <cacheField name="Nombre del Docente" numFmtId="0">
      <sharedItems containsBlank="1" count="11">
        <s v="José"/>
        <s v="María"/>
        <s v="Raúl"/>
        <s v="Jorge"/>
        <s v="Raquel"/>
        <s v="Sofía"/>
        <s v="Ruth"/>
        <s v="Paul"/>
        <s v="Miguel"/>
        <s v="Rafaela"/>
        <m/>
      </sharedItems>
    </cacheField>
    <cacheField name="Área" numFmtId="0">
      <sharedItems containsBlank="1" count="8">
        <s v="Ciencias Sociales"/>
        <s v="Comunicación "/>
        <s v="Matemática"/>
        <s v="Desarrollo Personal, Ciudadanía y Cívica"/>
        <s v="Inglés"/>
        <s v="Arte y Cultura"/>
        <s v="Educación para el Trabajo"/>
        <m/>
      </sharedItems>
    </cacheField>
    <cacheField name="Grado" numFmtId="0">
      <sharedItems containsBlank="1" count="6">
        <s v="2°"/>
        <s v="3°"/>
        <s v="4°"/>
        <s v="1°"/>
        <s v="5°"/>
        <m/>
      </sharedItems>
    </cacheField>
    <cacheField name="Sección" numFmtId="0">
      <sharedItems containsBlank="1" count="5">
        <s v="A"/>
        <s v="Única"/>
        <s v="B"/>
        <s v="C"/>
        <m/>
      </sharedItems>
    </cacheField>
    <cacheField name="INVOLUCRA ACTIVAMENTE A LOS ESTUDIANTES EN EL PROCESO DE APRENDIZAJE" numFmtId="0">
      <sharedItems containsString="0" containsBlank="1" containsNumber="1" containsInteger="1" minValue="1" maxValue="4" count="5">
        <n v="2"/>
        <n v="1"/>
        <n v="3"/>
        <n v="4"/>
        <m/>
      </sharedItems>
    </cacheField>
    <cacheField name="PROMUEVA EL RAZONAMIENTO, LA CREATIVIDAD Y/O EL PENSAMIENTO CRÍTICO" numFmtId="0">
      <sharedItems containsString="0" containsBlank="1" containsNumber="1" containsInteger="1" minValue="1" maxValue="4" count="5">
        <n v="3"/>
        <n v="1"/>
        <n v="2"/>
        <n v="4"/>
        <m/>
      </sharedItems>
    </cacheField>
    <cacheField name="EVALÚA EL PROGRESO DE LOS APRENDIZAJES PARA RETROALIMENTAR A LOS ESTUDIANTES Y ADECUAR SU ENSEÑANZA" numFmtId="0">
      <sharedItems containsString="0" containsBlank="1" containsNumber="1" containsInteger="1" minValue="1" maxValue="4" count="5">
        <n v="1"/>
        <n v="2"/>
        <n v="3"/>
        <n v="4"/>
        <m/>
      </sharedItems>
    </cacheField>
    <cacheField name="PROPICIA UN AMBIENTE DE RESPETO Y PROXIMIDAD" numFmtId="0">
      <sharedItems containsString="0" containsBlank="1" containsNumber="1" containsInteger="1" minValue="1" maxValue="4" count="5">
        <n v="4"/>
        <n v="3"/>
        <n v="1"/>
        <n v="2"/>
        <m/>
      </sharedItems>
    </cacheField>
    <cacheField name="REGULA POSITIVAMENTE EL COMPORTAMIENTO DE LOS ESTUDIANTES" numFmtId="0">
      <sharedItems containsString="0" containsBlank="1" containsNumber="1" containsInteger="1" minValue="1" maxValue="4" count="5">
        <n v="3"/>
        <n v="4"/>
        <n v="2"/>
        <n v="1"/>
        <m/>
      </sharedItems>
    </cacheField>
  </cacheFields>
  <extLst>
    <ext xmlns:x14="http://schemas.microsoft.com/office/spreadsheetml/2009/9/main" uri="{725AE2AE-9491-48be-B2B4-4EB974FC3084}">
      <x14:pivotCacheDefinition pivotCacheId="44339462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">
  <r>
    <d v="2026-04-21T00:00:00"/>
    <s v="12345678"/>
    <x v="0"/>
    <x v="0"/>
    <x v="0"/>
    <x v="0"/>
    <x v="0"/>
    <x v="0"/>
    <x v="0"/>
    <x v="0"/>
    <x v="0"/>
  </r>
  <r>
    <d v="2026-04-21T00:00:00"/>
    <s v="87654321"/>
    <x v="1"/>
    <x v="1"/>
    <x v="1"/>
    <x v="1"/>
    <x v="1"/>
    <x v="1"/>
    <x v="1"/>
    <x v="1"/>
    <x v="1"/>
  </r>
  <r>
    <d v="2026-04-21T00:00:00"/>
    <s v="78451296"/>
    <x v="2"/>
    <x v="2"/>
    <x v="2"/>
    <x v="2"/>
    <x v="2"/>
    <x v="2"/>
    <x v="2"/>
    <x v="2"/>
    <x v="2"/>
  </r>
  <r>
    <d v="2026-04-21T00:00:00"/>
    <s v="96325874"/>
    <x v="3"/>
    <x v="3"/>
    <x v="0"/>
    <x v="0"/>
    <x v="3"/>
    <x v="3"/>
    <x v="3"/>
    <x v="3"/>
    <x v="3"/>
  </r>
  <r>
    <d v="2026-04-22T00:00:00"/>
    <s v="95147532"/>
    <x v="4"/>
    <x v="2"/>
    <x v="3"/>
    <x v="0"/>
    <x v="1"/>
    <x v="2"/>
    <x v="1"/>
    <x v="2"/>
    <x v="3"/>
  </r>
  <r>
    <d v="2026-04-23T00:00:00"/>
    <s v="15987453"/>
    <x v="5"/>
    <x v="0"/>
    <x v="0"/>
    <x v="3"/>
    <x v="0"/>
    <x v="2"/>
    <x v="1"/>
    <x v="1"/>
    <x v="0"/>
  </r>
  <r>
    <d v="2026-04-24T00:00:00"/>
    <s v="01234569"/>
    <x v="6"/>
    <x v="4"/>
    <x v="4"/>
    <x v="1"/>
    <x v="2"/>
    <x v="2"/>
    <x v="0"/>
    <x v="1"/>
    <x v="1"/>
  </r>
  <r>
    <d v="2026-04-24T00:00:00"/>
    <s v="03489512"/>
    <x v="7"/>
    <x v="5"/>
    <x v="4"/>
    <x v="2"/>
    <x v="0"/>
    <x v="2"/>
    <x v="1"/>
    <x v="3"/>
    <x v="2"/>
  </r>
  <r>
    <d v="2026-04-24T00:00:00"/>
    <s v="98747897"/>
    <x v="8"/>
    <x v="6"/>
    <x v="3"/>
    <x v="0"/>
    <x v="1"/>
    <x v="1"/>
    <x v="1"/>
    <x v="1"/>
    <x v="0"/>
  </r>
  <r>
    <d v="2026-04-24T00:00:00"/>
    <s v="75478457"/>
    <x v="9"/>
    <x v="2"/>
    <x v="4"/>
    <x v="2"/>
    <x v="3"/>
    <x v="3"/>
    <x v="3"/>
    <x v="0"/>
    <x v="1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  <r>
    <m/>
    <m/>
    <x v="10"/>
    <x v="7"/>
    <x v="5"/>
    <x v="4"/>
    <x v="4"/>
    <x v="4"/>
    <x v="4"/>
    <x v="4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3A6CC4-0BFC-493E-B130-BCCD487B2C6D}" name="TablaDinámica3" cacheId="12" applyNumberFormats="0" applyBorderFormats="0" applyFontFormats="0" applyPatternFormats="0" applyAlignmentFormats="0" applyWidthHeightFormats="1" dataCaption="Valores" missingCaption="0" updatedVersion="8" minRefreshableVersion="3" useAutoFormatting="1" itemPrintTitles="1" createdVersion="7" indent="0" outline="1" outlineData="1" chartFormat="6">
  <location ref="A33:B38" firstHeaderRow="1" firstDataRow="1" firstDataCol="1"/>
  <pivotFields count="11">
    <pivotField showAll="0"/>
    <pivotField dataField="1" showAll="0"/>
    <pivotField showAll="0">
      <items count="12">
        <item x="3"/>
        <item x="0"/>
        <item x="1"/>
        <item x="8"/>
        <item x="7"/>
        <item x="9"/>
        <item x="4"/>
        <item x="2"/>
        <item x="6"/>
        <item x="5"/>
        <item x="10"/>
        <item t="default"/>
      </items>
    </pivotField>
    <pivotField showAll="0">
      <items count="9">
        <item x="5"/>
        <item x="0"/>
        <item x="1"/>
        <item x="3"/>
        <item x="6"/>
        <item x="4"/>
        <item x="2"/>
        <item x="7"/>
        <item t="default"/>
      </items>
    </pivotField>
    <pivotField showAll="0">
      <items count="7">
        <item x="3"/>
        <item x="0"/>
        <item x="1"/>
        <item x="2"/>
        <item x="4"/>
        <item x="5"/>
        <item t="default"/>
      </items>
    </pivotField>
    <pivotField showAll="0">
      <items count="6">
        <item x="0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axis="axisRow" sortType="ascending">
      <items count="6">
        <item n="DESTACADO" x="1"/>
        <item n="EN PROCESO" x="2"/>
        <item n="MUY DEFICIENTE" x="3"/>
        <item n="SUFICIENTE" x="0"/>
        <item x="4"/>
        <item t="default"/>
      </items>
    </pivotField>
  </pivotFields>
  <rowFields count="1">
    <field x="1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DNI del Docente" fld="1" subtotal="count" baseField="0" baseItem="0"/>
  </dataFields>
  <chartFormats count="6">
    <chartFormat chart="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5">
      <pivotArea type="data" outline="0" fieldPosition="0">
        <references count="2">
          <reference field="4294967294" count="1" selected="0">
            <x v="0"/>
          </reference>
          <reference field="10" count="1" selected="0">
            <x v="4"/>
          </reference>
        </references>
      </pivotArea>
    </chartFormat>
    <chartFormat chart="5" format="25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5" format="26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5" format="27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5" format="28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0" type="captionNotEqual" evalOrder="-1" id="1" stringValue1="(en blanco)">
      <autoFilter ref="A1">
        <filterColumn colId="0">
          <customFilters>
            <customFilter operator="notEqual" val="(en blanco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BC780-142F-4F4A-847C-7856CC362925}" name="TablaDinámica2" cacheId="12" applyNumberFormats="0" applyBorderFormats="0" applyFontFormats="0" applyPatternFormats="0" applyAlignmentFormats="0" applyWidthHeightFormats="1" dataCaption="Valores" missingCaption="0" updatedVersion="8" minRefreshableVersion="3" useAutoFormatting="1" itemPrintTitles="1" createdVersion="7" indent="0" outline="1" outlineData="1" chartFormat="6">
  <location ref="A25:B30" firstHeaderRow="1" firstDataRow="1" firstDataCol="1"/>
  <pivotFields count="11">
    <pivotField showAll="0"/>
    <pivotField dataField="1" showAll="0"/>
    <pivotField showAll="0">
      <items count="12">
        <item x="3"/>
        <item x="0"/>
        <item x="1"/>
        <item x="8"/>
        <item x="7"/>
        <item x="9"/>
        <item x="4"/>
        <item x="2"/>
        <item x="6"/>
        <item x="5"/>
        <item x="10"/>
        <item t="default"/>
      </items>
    </pivotField>
    <pivotField showAll="0">
      <items count="9">
        <item x="5"/>
        <item x="0"/>
        <item x="1"/>
        <item x="3"/>
        <item x="6"/>
        <item x="4"/>
        <item x="2"/>
        <item x="7"/>
        <item t="default"/>
      </items>
    </pivotField>
    <pivotField showAll="0">
      <items count="7">
        <item x="3"/>
        <item x="0"/>
        <item x="1"/>
        <item x="2"/>
        <item x="4"/>
        <item x="5"/>
        <item t="default"/>
      </items>
    </pivotField>
    <pivotField showAll="0">
      <items count="6">
        <item x="0"/>
        <item x="2"/>
        <item x="3"/>
        <item x="1"/>
        <item x="4"/>
        <item t="default"/>
      </items>
    </pivotField>
    <pivotField showAll="0"/>
    <pivotField showAll="0"/>
    <pivotField showAll="0"/>
    <pivotField axis="axisRow" sortType="ascending">
      <items count="6">
        <item n="DESTACADO" x="0"/>
        <item n="EN PROCESO" x="3"/>
        <item n="MUY DEFICIENTE" x="2"/>
        <item n="SUFICIENTE" x="1"/>
        <item x="4"/>
        <item t="default"/>
      </items>
    </pivotField>
    <pivotField showAll="0"/>
  </pivotFields>
  <rowFields count="1">
    <field x="9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DNI del Docente" fld="1" subtotal="count" baseField="0" baseItem="0"/>
  </dataFields>
  <chartFormats count="6">
    <chartFormat chart="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5" format="23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5" format="24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5" format="25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5" format="26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9" type="captionNotEqual" evalOrder="-1" id="1" stringValue1="(en blanco)">
      <autoFilter ref="A1">
        <filterColumn colId="0">
          <customFilters>
            <customFilter operator="notEqual" val="(en blanco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3F3F10-9288-4BE5-A05E-86F672300177}" name="TablaDinámica1" cacheId="12" applyNumberFormats="0" applyBorderFormats="0" applyFontFormats="0" applyPatternFormats="0" applyAlignmentFormats="0" applyWidthHeightFormats="1" dataCaption="Valores" missingCaption="0" updatedVersion="8" minRefreshableVersion="3" useAutoFormatting="1" itemPrintTitles="1" createdVersion="7" indent="0" outline="1" outlineData="1" chartFormat="6">
  <location ref="A17:B22" firstHeaderRow="1" firstDataRow="1" firstDataCol="1"/>
  <pivotFields count="11">
    <pivotField showAll="0"/>
    <pivotField dataField="1" showAll="0"/>
    <pivotField showAll="0">
      <items count="12">
        <item x="3"/>
        <item x="0"/>
        <item x="1"/>
        <item x="8"/>
        <item x="7"/>
        <item x="9"/>
        <item x="4"/>
        <item x="2"/>
        <item x="6"/>
        <item x="5"/>
        <item x="10"/>
        <item t="default"/>
      </items>
    </pivotField>
    <pivotField showAll="0">
      <items count="9">
        <item x="5"/>
        <item x="0"/>
        <item x="1"/>
        <item x="3"/>
        <item x="6"/>
        <item x="4"/>
        <item x="2"/>
        <item x="7"/>
        <item t="default"/>
      </items>
    </pivotField>
    <pivotField showAll="0">
      <items count="7">
        <item x="3"/>
        <item x="0"/>
        <item x="1"/>
        <item x="2"/>
        <item x="4"/>
        <item x="5"/>
        <item t="default"/>
      </items>
    </pivotField>
    <pivotField showAll="0">
      <items count="6">
        <item x="0"/>
        <item x="2"/>
        <item x="3"/>
        <item x="1"/>
        <item x="4"/>
        <item t="default"/>
      </items>
    </pivotField>
    <pivotField showAll="0"/>
    <pivotField showAll="0"/>
    <pivotField axis="axisRow" sortType="ascending">
      <items count="6">
        <item n="DESTACADO" x="3"/>
        <item n="EN PROCESO" x="1"/>
        <item n="MUY DEFICIENTE" x="0"/>
        <item n="SUFICIENTE" x="2"/>
        <item x="4"/>
        <item t="default"/>
      </items>
    </pivotField>
    <pivotField showAll="0"/>
    <pivotField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DNI del Docente" fld="1" subtotal="count" baseField="0" baseItem="0"/>
  </dataFields>
  <chartFormats count="6">
    <chartFormat chart="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5" format="22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5" format="23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5" format="24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5" format="25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8" type="captionNotEqual" evalOrder="-1" id="1" stringValue1="(en blanco)">
      <autoFilter ref="A1">
        <filterColumn colId="0">
          <customFilters>
            <customFilter operator="notEqual" val="(en blanco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81FEF0-5EC0-4367-8CEC-FA392BE051B8}" name="TablaDinámica10" cacheId="12" applyNumberFormats="0" applyBorderFormats="0" applyFontFormats="0" applyPatternFormats="0" applyAlignmentFormats="0" applyWidthHeightFormats="1" dataCaption="Valores" missingCaption="0" updatedVersion="8" minRefreshableVersion="3" useAutoFormatting="1" itemPrintTitles="1" createdVersion="7" indent="0" outline="1" outlineData="1" chartFormat="6">
  <location ref="A9:B14" firstHeaderRow="1" firstDataRow="1" firstDataCol="1"/>
  <pivotFields count="11">
    <pivotField showAll="0"/>
    <pivotField dataField="1" showAll="0"/>
    <pivotField showAll="0">
      <items count="12">
        <item x="3"/>
        <item x="0"/>
        <item x="1"/>
        <item x="8"/>
        <item x="7"/>
        <item x="9"/>
        <item x="4"/>
        <item x="2"/>
        <item x="6"/>
        <item x="5"/>
        <item x="10"/>
        <item t="default"/>
      </items>
    </pivotField>
    <pivotField showAll="0">
      <items count="9">
        <item x="5"/>
        <item x="0"/>
        <item x="1"/>
        <item x="3"/>
        <item x="6"/>
        <item x="4"/>
        <item x="2"/>
        <item x="7"/>
        <item t="default"/>
      </items>
    </pivotField>
    <pivotField showAll="0">
      <items count="7">
        <item x="3"/>
        <item x="0"/>
        <item x="1"/>
        <item x="2"/>
        <item x="4"/>
        <item x="5"/>
        <item t="default"/>
      </items>
    </pivotField>
    <pivotField showAll="0">
      <items count="6">
        <item x="0"/>
        <item x="2"/>
        <item x="3"/>
        <item x="1"/>
        <item x="4"/>
        <item t="default"/>
      </items>
    </pivotField>
    <pivotField showAll="0"/>
    <pivotField axis="axisRow" sortType="ascending">
      <items count="6">
        <item n="DESTACADO" x="3"/>
        <item n="EN PROCESO" x="2"/>
        <item n="MUY DEFICIENTE" x="1"/>
        <item n="SUFICIENTE" x="0"/>
        <item x="4"/>
        <item t="default"/>
      </items>
    </pivotField>
    <pivotField showAll="0"/>
    <pivotField showAll="0"/>
    <pivotField showAl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DNI del Docente" fld="1" subtotal="count" baseField="0" baseItem="0"/>
  </dataFields>
  <chartFormats count="6">
    <chartFormat chart="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5" format="2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5" format="25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5" format="2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5" format="27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captionNotEqual" evalOrder="-1" id="1" stringValue1="(en blanco)">
      <autoFilter ref="A1">
        <filterColumn colId="0">
          <customFilters>
            <customFilter operator="notEqual" val="(en blanco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46E58B-81F1-4190-8F2E-F0EEC09DBD59}" name="TablaDinámica9" cacheId="12" applyNumberFormats="0" applyBorderFormats="0" applyFontFormats="0" applyPatternFormats="0" applyAlignmentFormats="0" applyWidthHeightFormats="1" dataCaption="Valores" missingCaption="0" updatedVersion="8" minRefreshableVersion="3" itemPrintTitles="1" createdVersion="7" indent="0" compact="0" compactData="0" chartFormat="7">
  <location ref="A1:B6" firstHeaderRow="1" firstDataRow="1" firstDataCol="1"/>
  <pivotFields count="11">
    <pivotField compact="0" outline="0" showAll="0" defaultSubtotal="0"/>
    <pivotField dataField="1" compact="0" outline="0" showAll="0" defaultSubtotal="0"/>
    <pivotField compact="0" outline="0" showAll="0" defaultSubtotal="0">
      <items count="11">
        <item x="3"/>
        <item x="0"/>
        <item x="1"/>
        <item x="8"/>
        <item x="7"/>
        <item x="9"/>
        <item x="4"/>
        <item x="2"/>
        <item x="6"/>
        <item x="5"/>
        <item x="10"/>
      </items>
    </pivotField>
    <pivotField compact="0" outline="0" showAll="0" defaultSubtotal="0">
      <items count="8">
        <item x="5"/>
        <item x="0"/>
        <item x="1"/>
        <item x="3"/>
        <item x="6"/>
        <item x="4"/>
        <item x="2"/>
        <item x="7"/>
      </items>
    </pivotField>
    <pivotField compact="0" outline="0" showAll="0" defaultSubtotal="0">
      <items count="6">
        <item x="3"/>
        <item x="0"/>
        <item x="1"/>
        <item x="2"/>
        <item x="4"/>
        <item x="5"/>
      </items>
    </pivotField>
    <pivotField compact="0" outline="0" showAll="0" defaultSubtotal="0">
      <items count="5">
        <item x="0"/>
        <item x="2"/>
        <item x="3"/>
        <item x="1"/>
        <item x="4"/>
      </items>
    </pivotField>
    <pivotField axis="axisRow" compact="0" outline="0" sortType="ascending" defaultSubtotal="0">
      <items count="5">
        <item n="DESTACADO" x="3"/>
        <item n="EN PROCESO" x="0"/>
        <item n="MUY DEFICIENTE" x="1"/>
        <item n="SUFICIENTE" x="2"/>
        <item x="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DNI del Docente" fld="1" subtotal="count" baseField="0" baseItem="0"/>
  </dataFields>
  <chartFormats count="6">
    <chartFormat chart="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6" format="2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6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6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6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6" type="captionNotEqual" evalOrder="-1" id="2" stringValue1="(en blanco)">
      <autoFilter ref="A1">
        <filterColumn colId="0">
          <customFilters>
            <customFilter operator="notEqual" val="(en blanco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_del_Docente" xr10:uid="{0DCE71E3-301C-48B0-A1C6-E4C4D02B9EB0}" sourceName="Nombre del Docente">
  <pivotTables>
    <pivotTable tabId="4" name="TablaDinámica9"/>
    <pivotTable tabId="4" name="TablaDinámica1"/>
    <pivotTable tabId="4" name="TablaDinámica10"/>
    <pivotTable tabId="4" name="TablaDinámica2"/>
    <pivotTable tabId="4" name="TablaDinámica3"/>
  </pivotTables>
  <data>
    <tabular pivotCacheId="443394625" showMissing="0">
      <items count="11">
        <i x="3" s="1"/>
        <i x="0" s="1"/>
        <i x="1" s="1"/>
        <i x="8" s="1"/>
        <i x="7" s="1"/>
        <i x="9" s="1"/>
        <i x="4" s="1"/>
        <i x="2" s="1"/>
        <i x="6" s="1"/>
        <i x="5" s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Área" xr10:uid="{2388A217-79F8-4F80-A528-2B0C35C40464}" sourceName="Área">
  <pivotTables>
    <pivotTable tabId="4" name="TablaDinámica9"/>
    <pivotTable tabId="4" name="TablaDinámica1"/>
    <pivotTable tabId="4" name="TablaDinámica10"/>
    <pivotTable tabId="4" name="TablaDinámica2"/>
    <pivotTable tabId="4" name="TablaDinámica3"/>
  </pivotTables>
  <data>
    <tabular pivotCacheId="443394625" showMissing="0">
      <items count="8">
        <i x="5" s="1"/>
        <i x="0" s="1"/>
        <i x="1" s="1"/>
        <i x="3" s="1"/>
        <i x="6" s="1"/>
        <i x="4" s="1"/>
        <i x="2" s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rado" xr10:uid="{8CD5ED7C-458F-495B-8824-DDCD427B235A}" sourceName="Grado">
  <pivotTables>
    <pivotTable tabId="4" name="TablaDinámica9"/>
    <pivotTable tabId="4" name="TablaDinámica1"/>
    <pivotTable tabId="4" name="TablaDinámica10"/>
    <pivotTable tabId="4" name="TablaDinámica2"/>
    <pivotTable tabId="4" name="TablaDinámica3"/>
  </pivotTables>
  <data>
    <tabular pivotCacheId="443394625">
      <items count="6">
        <i x="3" s="1"/>
        <i x="0" s="1"/>
        <i x="1" s="1"/>
        <i x="2" s="1"/>
        <i x="4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cción" xr10:uid="{CBA51E7B-0BE7-4DCA-BCCD-84C26881BA3F}" sourceName="Sección">
  <pivotTables>
    <pivotTable tabId="4" name="TablaDinámica9"/>
    <pivotTable tabId="4" name="TablaDinámica1"/>
    <pivotTable tabId="4" name="TablaDinámica10"/>
    <pivotTable tabId="4" name="TablaDinámica2"/>
    <pivotTable tabId="4" name="TablaDinámica3"/>
  </pivotTables>
  <data>
    <tabular pivotCacheId="443394625">
      <items count="5">
        <i x="0" s="1"/>
        <i x="2" s="1"/>
        <i x="3" s="1"/>
        <i x="1" s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 del Docente" xr10:uid="{A620D409-1864-4F79-BF8B-5D3264F88ABB}" cache="SegmentaciónDeDatos_Nombre_del_Docente" caption="Docente" style="SlicerStyleDark2" lockedPosition="1" rowHeight="241300"/>
  <slicer name="Área" xr10:uid="{44FFF6F3-71B4-495A-BF1A-BA3421DB843A}" cache="SegmentaciónDeDatos_Área" caption="Área" style="SlicerStyleDark5" lockedPosition="1" rowHeight="241300"/>
  <slicer name="Grado" xr10:uid="{5121AC37-017E-4CC0-A25D-86CCCAF4F1FE}" cache="SegmentaciónDeDatos_Grado" caption="Grado" style="SlicerStyleDark6" lockedPosition="1" rowHeight="241300"/>
  <slicer name="Sección" xr10:uid="{579A5379-32DE-4C62-BB82-939751CB20C0}" cache="SegmentaciónDeDatos_Sección" caption="Sección" style="SlicerStyleDark4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408F6DB-C8FA-4E35-9E6C-5C06E654C9AA}" name="Tabla2" displayName="Tabla2" ref="A1:K17" totalsRowShown="0" headerRowDxfId="12" dataDxfId="11">
  <autoFilter ref="A1:K17" xr:uid="{C408F6DB-C8FA-4E35-9E6C-5C06E654C9AA}"/>
  <tableColumns count="11">
    <tableColumn id="1" xr3:uid="{4452974F-78F9-4C91-A378-1A891A52FCC4}" name="Fecha" dataDxfId="10"/>
    <tableColumn id="2" xr3:uid="{C9C88171-6479-4CBE-8B73-1FF3CBB05594}" name="DNI del Docente" dataDxfId="9"/>
    <tableColumn id="3" xr3:uid="{0A9A7499-ED30-4831-B509-2B1F9930748D}" name="Nombre del Docente" dataDxfId="8"/>
    <tableColumn id="4" xr3:uid="{3FED5D01-80C8-4FFC-BE6A-F7725E647E8E}" name="Área" dataDxfId="7"/>
    <tableColumn id="5" xr3:uid="{2114679C-244A-4302-977C-6EC00A6BE1F7}" name="Grado" dataDxfId="6"/>
    <tableColumn id="6" xr3:uid="{D2DBE4DD-3827-4151-A437-6D49E45C66A8}" name="Sección" dataDxfId="5"/>
    <tableColumn id="7" xr3:uid="{6E650A69-7871-4911-A4CB-8CB92D24E2E9}" name="INVOLUCRA ACTIVAMENTE A LOS ESTUDIANTES EN EL PROCESO DE APRENDIZAJE" dataDxfId="4"/>
    <tableColumn id="8" xr3:uid="{37BC396D-9DBD-487E-8ED2-58834EF5B01F}" name="PROMUEVA EL RAZONAMIENTO, LA CREATIVIDAD Y/O EL PENSAMIENTO CRÍTICO" dataDxfId="3"/>
    <tableColumn id="9" xr3:uid="{0E174C7C-9AAA-4DB4-9A6E-63DF1F55D19F}" name="EVALÚA EL PROGRESO DE LOS APRENDIZAJES PARA RETROALIMENTAR A LOS ESTUDIANTES Y ADECUAR SU ENSEÑANZA" dataDxfId="2"/>
    <tableColumn id="10" xr3:uid="{BA6200CE-03D7-4FA6-A7C5-59D33D39B93C}" name="PROPICIA UN AMBIENTE DE RESPETO Y PROXIMIDAD" dataDxfId="1"/>
    <tableColumn id="11" xr3:uid="{05F1C896-9515-4AB7-B36F-F5EBEC51B210}" name="REGULA POSITIVAMENTE EL COMPORTAMIENTO DE LOS ESTUDIANT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07/relationships/slicer" Target="../slicers/slicer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1DA0F-400F-4C9F-9BD9-2940BAE104E0}">
  <sheetPr codeName="Hoja1"/>
  <dimension ref="A1:K100"/>
  <sheetViews>
    <sheetView showGridLines="0" showRowColHeaders="0" tabSelected="1" workbookViewId="0">
      <pane ySplit="1" topLeftCell="A2" activePane="bottomLeft" state="frozen"/>
      <selection pane="bottomLeft" activeCell="L11" sqref="L11"/>
    </sheetView>
  </sheetViews>
  <sheetFormatPr baseColWidth="10" defaultRowHeight="14.4"/>
  <cols>
    <col min="1" max="1" width="20.6640625" style="3" customWidth="1"/>
    <col min="2" max="2" width="21.33203125" style="12" customWidth="1"/>
    <col min="3" max="3" width="40.6640625" customWidth="1"/>
    <col min="4" max="4" width="40.44140625" customWidth="1"/>
    <col min="5" max="6" width="14.6640625" style="13" customWidth="1"/>
    <col min="7" max="11" width="22.6640625" style="16" customWidth="1"/>
  </cols>
  <sheetData>
    <row r="1" spans="1:11" ht="72">
      <c r="A1" s="5" t="s">
        <v>0</v>
      </c>
      <c r="B1" s="6" t="s">
        <v>1</v>
      </c>
      <c r="C1" s="7" t="s">
        <v>2</v>
      </c>
      <c r="D1" s="5" t="s">
        <v>3</v>
      </c>
      <c r="E1" s="5" t="s">
        <v>4</v>
      </c>
      <c r="F1" s="5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</row>
    <row r="2" spans="1:11">
      <c r="A2" s="9">
        <v>46133</v>
      </c>
      <c r="B2" s="10" t="s">
        <v>48</v>
      </c>
      <c r="C2" s="8" t="s">
        <v>49</v>
      </c>
      <c r="D2" s="8" t="s">
        <v>22</v>
      </c>
      <c r="E2" s="4" t="s">
        <v>14</v>
      </c>
      <c r="F2" s="4" t="s">
        <v>15</v>
      </c>
      <c r="G2" s="14">
        <v>2</v>
      </c>
      <c r="H2" s="14">
        <v>3</v>
      </c>
      <c r="I2" s="14">
        <v>1</v>
      </c>
      <c r="J2" s="14">
        <v>4</v>
      </c>
      <c r="K2" s="14">
        <v>3</v>
      </c>
    </row>
    <row r="3" spans="1:11">
      <c r="A3" s="9">
        <v>46133</v>
      </c>
      <c r="B3" s="10" t="s">
        <v>50</v>
      </c>
      <c r="C3" s="8" t="s">
        <v>51</v>
      </c>
      <c r="D3" s="8" t="s">
        <v>16</v>
      </c>
      <c r="E3" s="4" t="s">
        <v>17</v>
      </c>
      <c r="F3" s="4" t="s">
        <v>12</v>
      </c>
      <c r="G3" s="14">
        <v>1</v>
      </c>
      <c r="H3" s="14">
        <v>1</v>
      </c>
      <c r="I3" s="14">
        <v>2</v>
      </c>
      <c r="J3" s="14">
        <v>3</v>
      </c>
      <c r="K3" s="14">
        <v>4</v>
      </c>
    </row>
    <row r="4" spans="1:11">
      <c r="A4" s="9">
        <v>46133</v>
      </c>
      <c r="B4" s="10" t="s">
        <v>52</v>
      </c>
      <c r="C4" s="8" t="s">
        <v>53</v>
      </c>
      <c r="D4" s="8" t="s">
        <v>13</v>
      </c>
      <c r="E4" s="4" t="s">
        <v>20</v>
      </c>
      <c r="F4" s="4" t="s">
        <v>18</v>
      </c>
      <c r="G4" s="14">
        <v>3</v>
      </c>
      <c r="H4" s="14">
        <v>2</v>
      </c>
      <c r="I4" s="14">
        <v>3</v>
      </c>
      <c r="J4" s="14">
        <v>1</v>
      </c>
      <c r="K4" s="14">
        <v>2</v>
      </c>
    </row>
    <row r="5" spans="1:11">
      <c r="A5" s="9">
        <v>46133</v>
      </c>
      <c r="B5" s="10" t="s">
        <v>54</v>
      </c>
      <c r="C5" s="8" t="s">
        <v>55</v>
      </c>
      <c r="D5" s="8" t="s">
        <v>25</v>
      </c>
      <c r="E5" s="4" t="s">
        <v>14</v>
      </c>
      <c r="F5" s="4" t="s">
        <v>15</v>
      </c>
      <c r="G5" s="14">
        <v>4</v>
      </c>
      <c r="H5" s="14">
        <v>4</v>
      </c>
      <c r="I5" s="14">
        <v>4</v>
      </c>
      <c r="J5" s="14">
        <v>2</v>
      </c>
      <c r="K5" s="14">
        <v>1</v>
      </c>
    </row>
    <row r="6" spans="1:11">
      <c r="A6" s="9">
        <v>46134</v>
      </c>
      <c r="B6" s="10" t="s">
        <v>60</v>
      </c>
      <c r="C6" s="8" t="s">
        <v>63</v>
      </c>
      <c r="D6" s="8" t="s">
        <v>13</v>
      </c>
      <c r="E6" s="4" t="s">
        <v>11</v>
      </c>
      <c r="F6" s="4" t="s">
        <v>15</v>
      </c>
      <c r="G6" s="14">
        <v>1</v>
      </c>
      <c r="H6" s="14">
        <v>2</v>
      </c>
      <c r="I6" s="14">
        <v>2</v>
      </c>
      <c r="J6" s="14">
        <v>1</v>
      </c>
      <c r="K6" s="14">
        <v>1</v>
      </c>
    </row>
    <row r="7" spans="1:11">
      <c r="A7" s="9">
        <v>46135</v>
      </c>
      <c r="B7" s="10" t="s">
        <v>61</v>
      </c>
      <c r="C7" s="8" t="s">
        <v>64</v>
      </c>
      <c r="D7" s="8" t="s">
        <v>22</v>
      </c>
      <c r="E7" s="4" t="s">
        <v>14</v>
      </c>
      <c r="F7" s="4" t="s">
        <v>21</v>
      </c>
      <c r="G7" s="14">
        <v>2</v>
      </c>
      <c r="H7" s="14">
        <v>2</v>
      </c>
      <c r="I7" s="14">
        <v>2</v>
      </c>
      <c r="J7" s="14">
        <v>3</v>
      </c>
      <c r="K7" s="14">
        <v>3</v>
      </c>
    </row>
    <row r="8" spans="1:11">
      <c r="A8" s="9">
        <v>46136</v>
      </c>
      <c r="B8" s="10" t="s">
        <v>62</v>
      </c>
      <c r="C8" s="8" t="s">
        <v>65</v>
      </c>
      <c r="D8" s="8" t="s">
        <v>31</v>
      </c>
      <c r="E8" s="4" t="s">
        <v>23</v>
      </c>
      <c r="F8" s="4" t="s">
        <v>12</v>
      </c>
      <c r="G8" s="14">
        <v>3</v>
      </c>
      <c r="H8" s="14">
        <v>2</v>
      </c>
      <c r="I8" s="14">
        <v>1</v>
      </c>
      <c r="J8" s="14">
        <v>3</v>
      </c>
      <c r="K8" s="14">
        <v>4</v>
      </c>
    </row>
    <row r="9" spans="1:11">
      <c r="A9" s="9">
        <v>46136</v>
      </c>
      <c r="B9" s="10" t="s">
        <v>66</v>
      </c>
      <c r="C9" s="8" t="s">
        <v>67</v>
      </c>
      <c r="D9" s="8" t="s">
        <v>29</v>
      </c>
      <c r="E9" s="4" t="s">
        <v>23</v>
      </c>
      <c r="F9" s="4" t="s">
        <v>18</v>
      </c>
      <c r="G9" s="14">
        <v>2</v>
      </c>
      <c r="H9" s="14">
        <v>2</v>
      </c>
      <c r="I9" s="14">
        <v>2</v>
      </c>
      <c r="J9" s="14">
        <v>2</v>
      </c>
      <c r="K9" s="14">
        <v>2</v>
      </c>
    </row>
    <row r="10" spans="1:11">
      <c r="A10" s="9">
        <v>46136</v>
      </c>
      <c r="B10" s="10" t="s">
        <v>68</v>
      </c>
      <c r="C10" s="8" t="s">
        <v>69</v>
      </c>
      <c r="D10" s="8" t="s">
        <v>35</v>
      </c>
      <c r="E10" s="4" t="s">
        <v>11</v>
      </c>
      <c r="F10" s="4" t="s">
        <v>15</v>
      </c>
      <c r="G10" s="14">
        <v>1</v>
      </c>
      <c r="H10" s="14">
        <v>1</v>
      </c>
      <c r="I10" s="14">
        <v>2</v>
      </c>
      <c r="J10" s="14">
        <v>3</v>
      </c>
      <c r="K10" s="14">
        <v>3</v>
      </c>
    </row>
    <row r="11" spans="1:11">
      <c r="A11" s="9">
        <v>46136</v>
      </c>
      <c r="B11" s="10" t="s">
        <v>70</v>
      </c>
      <c r="C11" s="8" t="s">
        <v>71</v>
      </c>
      <c r="D11" s="8" t="s">
        <v>13</v>
      </c>
      <c r="E11" s="4" t="s">
        <v>23</v>
      </c>
      <c r="F11" s="4" t="s">
        <v>18</v>
      </c>
      <c r="G11" s="14">
        <v>4</v>
      </c>
      <c r="H11" s="14">
        <v>4</v>
      </c>
      <c r="I11" s="14">
        <v>4</v>
      </c>
      <c r="J11" s="14">
        <v>4</v>
      </c>
      <c r="K11" s="14">
        <v>4</v>
      </c>
    </row>
    <row r="12" spans="1:11">
      <c r="A12" s="9"/>
      <c r="B12" s="10"/>
      <c r="C12" s="8"/>
      <c r="D12" s="8"/>
      <c r="E12" s="4"/>
      <c r="F12" s="4"/>
      <c r="G12" s="14"/>
      <c r="H12" s="14"/>
      <c r="I12" s="14"/>
      <c r="J12" s="14"/>
      <c r="K12" s="14"/>
    </row>
    <row r="13" spans="1:11">
      <c r="A13" s="9"/>
      <c r="B13" s="10"/>
      <c r="C13" s="8"/>
      <c r="D13" s="8"/>
      <c r="E13" s="4"/>
      <c r="F13" s="4"/>
      <c r="G13" s="14"/>
      <c r="H13" s="14"/>
      <c r="I13" s="14"/>
      <c r="J13" s="14"/>
      <c r="K13" s="14"/>
    </row>
    <row r="14" spans="1:11">
      <c r="A14" s="9"/>
      <c r="B14" s="10"/>
      <c r="C14" s="8"/>
      <c r="D14" s="8"/>
      <c r="E14" s="4"/>
      <c r="F14" s="4"/>
      <c r="G14" s="14"/>
      <c r="H14" s="14"/>
      <c r="I14" s="14"/>
      <c r="J14" s="14"/>
      <c r="K14" s="14"/>
    </row>
    <row r="15" spans="1:11">
      <c r="A15" s="18"/>
      <c r="B15" s="10"/>
      <c r="C15" s="8"/>
      <c r="D15" s="8"/>
      <c r="E15" s="4"/>
      <c r="F15" s="4"/>
      <c r="G15" s="14"/>
      <c r="H15" s="14"/>
      <c r="I15" s="14"/>
      <c r="J15" s="14"/>
      <c r="K15" s="14"/>
    </row>
    <row r="16" spans="1:11">
      <c r="A16" s="18"/>
      <c r="B16" s="10"/>
      <c r="C16" s="20"/>
      <c r="D16" s="20"/>
      <c r="E16" s="21"/>
      <c r="F16" s="21"/>
      <c r="G16" s="22"/>
      <c r="H16" s="22"/>
      <c r="I16" s="22"/>
      <c r="J16" s="22"/>
      <c r="K16" s="23"/>
    </row>
    <row r="17" spans="1:11">
      <c r="A17" s="18"/>
      <c r="B17" s="19"/>
      <c r="C17" s="20"/>
      <c r="D17" s="20"/>
      <c r="E17" s="21"/>
      <c r="F17" s="21"/>
      <c r="G17" s="22"/>
      <c r="H17" s="22"/>
      <c r="I17" s="22"/>
      <c r="J17" s="22"/>
      <c r="K17" s="23"/>
    </row>
    <row r="18" spans="1:11">
      <c r="A18" s="9"/>
      <c r="B18" s="10"/>
      <c r="C18" s="8"/>
      <c r="D18" s="8"/>
      <c r="E18" s="4"/>
      <c r="F18" s="4"/>
      <c r="G18" s="14"/>
      <c r="H18" s="14"/>
      <c r="I18" s="14"/>
      <c r="J18" s="14"/>
      <c r="K18" s="14"/>
    </row>
    <row r="19" spans="1:11">
      <c r="A19" s="9"/>
      <c r="B19" s="10"/>
      <c r="C19" s="8"/>
      <c r="D19" s="8"/>
      <c r="E19" s="4"/>
      <c r="F19" s="4"/>
      <c r="G19" s="14"/>
      <c r="H19" s="14"/>
      <c r="I19" s="14"/>
      <c r="J19" s="14"/>
      <c r="K19" s="14"/>
    </row>
    <row r="20" spans="1:11">
      <c r="A20" s="11"/>
      <c r="B20" s="10"/>
      <c r="C20" s="8"/>
      <c r="D20" s="8"/>
      <c r="E20" s="4"/>
      <c r="F20" s="4"/>
      <c r="G20" s="14"/>
      <c r="H20" s="14"/>
      <c r="I20" s="14"/>
      <c r="J20" s="14"/>
      <c r="K20" s="14"/>
    </row>
    <row r="21" spans="1:11">
      <c r="A21" s="11"/>
      <c r="B21" s="10"/>
      <c r="C21" s="8"/>
      <c r="D21" s="8"/>
      <c r="E21" s="4"/>
      <c r="F21" s="4"/>
      <c r="G21" s="14"/>
      <c r="H21" s="14"/>
      <c r="I21" s="14"/>
      <c r="J21" s="14"/>
      <c r="K21" s="14"/>
    </row>
    <row r="22" spans="1:11">
      <c r="A22" s="11"/>
      <c r="B22" s="10"/>
      <c r="C22" s="8"/>
      <c r="D22" s="8"/>
      <c r="E22" s="4"/>
      <c r="F22" s="4"/>
      <c r="G22" s="14"/>
      <c r="H22" s="14"/>
      <c r="I22" s="14"/>
      <c r="J22" s="14"/>
      <c r="K22" s="14"/>
    </row>
    <row r="23" spans="1:11">
      <c r="A23" s="11"/>
      <c r="B23" s="10"/>
      <c r="C23" s="8"/>
      <c r="D23" s="8"/>
      <c r="E23" s="4"/>
      <c r="F23" s="4"/>
      <c r="G23" s="14"/>
      <c r="H23" s="14"/>
      <c r="I23" s="14"/>
      <c r="J23" s="14"/>
      <c r="K23" s="14"/>
    </row>
    <row r="24" spans="1:11">
      <c r="A24" s="11"/>
      <c r="B24" s="10"/>
      <c r="C24" s="8"/>
      <c r="D24" s="8"/>
      <c r="E24" s="4"/>
      <c r="F24" s="4"/>
      <c r="G24" s="14"/>
      <c r="H24" s="14"/>
      <c r="I24" s="14"/>
      <c r="J24" s="14"/>
      <c r="K24" s="14"/>
    </row>
    <row r="25" spans="1:11">
      <c r="A25" s="11"/>
      <c r="B25" s="10"/>
      <c r="C25" s="8"/>
      <c r="D25" s="8"/>
      <c r="E25" s="4"/>
      <c r="F25" s="4"/>
      <c r="G25" s="14"/>
      <c r="H25" s="14"/>
      <c r="I25" s="14"/>
      <c r="J25" s="14"/>
      <c r="K25" s="14"/>
    </row>
    <row r="26" spans="1:11">
      <c r="A26" s="11"/>
      <c r="B26" s="10"/>
      <c r="C26" s="8"/>
      <c r="D26" s="8"/>
      <c r="E26" s="4"/>
      <c r="F26" s="4"/>
      <c r="G26" s="14"/>
      <c r="H26" s="14"/>
      <c r="I26" s="14"/>
      <c r="J26" s="14"/>
      <c r="K26" s="14"/>
    </row>
    <row r="27" spans="1:11">
      <c r="A27" s="11"/>
      <c r="B27" s="10"/>
      <c r="C27" s="8"/>
      <c r="D27" s="8"/>
      <c r="E27" s="4"/>
      <c r="F27" s="4"/>
      <c r="G27" s="14"/>
      <c r="H27" s="14"/>
      <c r="I27" s="14"/>
      <c r="J27" s="14"/>
      <c r="K27" s="14"/>
    </row>
    <row r="28" spans="1:11">
      <c r="A28" s="11"/>
      <c r="B28" s="10"/>
      <c r="C28" s="8"/>
      <c r="D28" s="8"/>
      <c r="E28" s="4"/>
      <c r="F28" s="4"/>
      <c r="G28" s="14"/>
      <c r="H28" s="14"/>
      <c r="I28" s="14"/>
      <c r="J28" s="14"/>
      <c r="K28" s="14"/>
    </row>
    <row r="29" spans="1:11">
      <c r="A29" s="11"/>
      <c r="B29" s="10"/>
      <c r="C29" s="8"/>
      <c r="D29" s="8"/>
      <c r="E29" s="4"/>
      <c r="F29" s="4"/>
      <c r="G29" s="14"/>
      <c r="H29" s="14"/>
      <c r="I29" s="14"/>
      <c r="J29" s="14"/>
      <c r="K29" s="14"/>
    </row>
    <row r="30" spans="1:11">
      <c r="A30" s="11"/>
      <c r="B30" s="10"/>
      <c r="C30" s="8"/>
      <c r="D30" s="8"/>
      <c r="E30" s="4"/>
      <c r="F30" s="4"/>
      <c r="G30" s="14"/>
      <c r="H30" s="14"/>
      <c r="I30" s="14"/>
      <c r="J30" s="14"/>
      <c r="K30" s="14"/>
    </row>
    <row r="31" spans="1:11">
      <c r="A31" s="11"/>
      <c r="B31" s="10"/>
      <c r="C31" s="8"/>
      <c r="D31" s="8"/>
      <c r="E31" s="4"/>
      <c r="F31" s="4"/>
      <c r="G31" s="14"/>
      <c r="H31" s="14"/>
      <c r="I31" s="14"/>
      <c r="J31" s="14"/>
      <c r="K31" s="14"/>
    </row>
    <row r="32" spans="1:11">
      <c r="A32" s="11"/>
      <c r="B32" s="10"/>
      <c r="C32" s="8"/>
      <c r="D32" s="8"/>
      <c r="E32" s="4"/>
      <c r="F32" s="4"/>
      <c r="G32" s="14"/>
      <c r="H32" s="14"/>
      <c r="I32" s="14"/>
      <c r="J32" s="14"/>
      <c r="K32" s="14"/>
    </row>
    <row r="33" spans="1:11">
      <c r="A33" s="11"/>
      <c r="B33" s="10"/>
      <c r="C33" s="8"/>
      <c r="D33" s="8"/>
      <c r="E33" s="4"/>
      <c r="F33" s="4"/>
      <c r="G33" s="14"/>
      <c r="H33" s="14"/>
      <c r="I33" s="14"/>
      <c r="J33" s="14"/>
      <c r="K33" s="14"/>
    </row>
    <row r="34" spans="1:11">
      <c r="A34" s="11"/>
      <c r="B34" s="10"/>
      <c r="C34" s="8"/>
      <c r="D34" s="8"/>
      <c r="E34" s="4"/>
      <c r="F34" s="4"/>
      <c r="G34" s="14"/>
      <c r="H34" s="14"/>
      <c r="I34" s="14"/>
      <c r="J34" s="14"/>
      <c r="K34" s="14"/>
    </row>
    <row r="35" spans="1:11">
      <c r="A35" s="11"/>
      <c r="B35" s="10"/>
      <c r="C35" s="8"/>
      <c r="D35" s="8"/>
      <c r="E35" s="4"/>
      <c r="F35" s="4"/>
      <c r="G35" s="14"/>
      <c r="H35" s="14"/>
      <c r="I35" s="14"/>
      <c r="J35" s="14"/>
      <c r="K35" s="14"/>
    </row>
    <row r="36" spans="1:11">
      <c r="A36" s="11"/>
      <c r="B36" s="10"/>
      <c r="C36" s="8"/>
      <c r="D36" s="8"/>
      <c r="E36" s="4"/>
      <c r="F36" s="4"/>
      <c r="G36" s="14"/>
      <c r="H36" s="14"/>
      <c r="I36" s="14"/>
      <c r="J36" s="14"/>
      <c r="K36" s="14"/>
    </row>
    <row r="37" spans="1:11">
      <c r="A37" s="11"/>
      <c r="B37" s="10"/>
      <c r="C37" s="8"/>
      <c r="D37" s="8"/>
      <c r="E37" s="4"/>
      <c r="F37" s="4"/>
      <c r="G37" s="14"/>
      <c r="H37" s="14"/>
      <c r="I37" s="14"/>
      <c r="J37" s="14"/>
      <c r="K37" s="14"/>
    </row>
    <row r="38" spans="1:11">
      <c r="A38" s="11"/>
      <c r="B38" s="10"/>
      <c r="C38" s="8"/>
      <c r="D38" s="8"/>
      <c r="E38" s="4"/>
      <c r="F38" s="4"/>
      <c r="G38" s="14"/>
      <c r="H38" s="14"/>
      <c r="I38" s="14"/>
      <c r="J38" s="14"/>
      <c r="K38" s="14"/>
    </row>
    <row r="39" spans="1:11">
      <c r="A39" s="11"/>
      <c r="B39" s="10"/>
      <c r="C39" s="8"/>
      <c r="D39" s="8"/>
      <c r="E39" s="4"/>
      <c r="F39" s="4"/>
      <c r="G39" s="14"/>
      <c r="H39" s="14"/>
      <c r="I39" s="14"/>
      <c r="J39" s="14"/>
      <c r="K39" s="14"/>
    </row>
    <row r="40" spans="1:11">
      <c r="A40" s="11"/>
      <c r="B40" s="10"/>
      <c r="C40" s="8"/>
      <c r="D40" s="8"/>
      <c r="E40" s="4"/>
      <c r="F40" s="4"/>
      <c r="G40" s="14"/>
      <c r="H40" s="14"/>
      <c r="I40" s="14"/>
      <c r="J40" s="14"/>
      <c r="K40" s="14"/>
    </row>
    <row r="41" spans="1:11">
      <c r="A41" s="11"/>
      <c r="B41" s="10"/>
      <c r="C41" s="8"/>
      <c r="D41" s="8"/>
      <c r="E41" s="4"/>
      <c r="F41" s="4"/>
      <c r="G41" s="14"/>
      <c r="H41" s="14"/>
      <c r="I41" s="14"/>
      <c r="J41" s="14"/>
      <c r="K41" s="14"/>
    </row>
    <row r="42" spans="1:11">
      <c r="A42" s="11"/>
      <c r="B42" s="10"/>
      <c r="C42" s="8"/>
      <c r="D42" s="8"/>
      <c r="E42" s="4"/>
      <c r="F42" s="4"/>
      <c r="G42" s="14"/>
      <c r="H42" s="14"/>
      <c r="I42" s="14"/>
      <c r="J42" s="14"/>
      <c r="K42" s="14"/>
    </row>
    <row r="43" spans="1:11">
      <c r="A43" s="11"/>
      <c r="B43" s="10"/>
      <c r="C43" s="8"/>
      <c r="D43" s="8"/>
      <c r="E43" s="4"/>
      <c r="F43" s="4"/>
      <c r="G43" s="14"/>
      <c r="H43" s="14"/>
      <c r="I43" s="14"/>
      <c r="J43" s="14"/>
      <c r="K43" s="14"/>
    </row>
    <row r="44" spans="1:11">
      <c r="A44" s="11"/>
      <c r="B44" s="10"/>
      <c r="C44" s="8"/>
      <c r="D44" s="8"/>
      <c r="E44" s="4"/>
      <c r="F44" s="4"/>
      <c r="G44" s="14"/>
      <c r="H44" s="14"/>
      <c r="I44" s="14"/>
      <c r="J44" s="14"/>
      <c r="K44" s="14"/>
    </row>
    <row r="45" spans="1:11">
      <c r="A45" s="11"/>
      <c r="B45" s="10"/>
      <c r="C45" s="8"/>
      <c r="D45" s="8"/>
      <c r="E45" s="4"/>
      <c r="F45" s="4"/>
      <c r="G45" s="14"/>
      <c r="H45" s="14"/>
      <c r="I45" s="14"/>
      <c r="J45" s="14"/>
      <c r="K45" s="14"/>
    </row>
    <row r="46" spans="1:11">
      <c r="A46" s="11"/>
      <c r="B46" s="10"/>
      <c r="C46" s="8"/>
      <c r="D46" s="8"/>
      <c r="E46" s="4"/>
      <c r="F46" s="4"/>
      <c r="G46" s="14"/>
      <c r="H46" s="14"/>
      <c r="I46" s="14"/>
      <c r="J46" s="14"/>
      <c r="K46" s="14"/>
    </row>
    <row r="47" spans="1:11">
      <c r="A47" s="11"/>
      <c r="B47" s="10"/>
      <c r="C47" s="8"/>
      <c r="D47" s="8"/>
      <c r="E47" s="4"/>
      <c r="F47" s="4"/>
      <c r="G47" s="14"/>
      <c r="H47" s="14"/>
      <c r="I47" s="14"/>
      <c r="J47" s="14"/>
      <c r="K47" s="14"/>
    </row>
    <row r="48" spans="1:11">
      <c r="A48" s="11"/>
      <c r="B48" s="10"/>
      <c r="C48" s="8"/>
      <c r="D48" s="8"/>
      <c r="E48" s="4"/>
      <c r="F48" s="4"/>
      <c r="G48" s="14"/>
      <c r="H48" s="14"/>
      <c r="I48" s="14"/>
      <c r="J48" s="14"/>
      <c r="K48" s="14"/>
    </row>
    <row r="49" spans="1:11">
      <c r="A49" s="11"/>
      <c r="B49" s="10"/>
      <c r="C49" s="8"/>
      <c r="D49" s="8"/>
      <c r="E49" s="4"/>
      <c r="F49" s="4"/>
      <c r="G49" s="14"/>
      <c r="H49" s="14"/>
      <c r="I49" s="14"/>
      <c r="J49" s="14"/>
      <c r="K49" s="14"/>
    </row>
    <row r="50" spans="1:11">
      <c r="A50" s="11"/>
      <c r="B50" s="10"/>
      <c r="C50" s="8"/>
      <c r="D50" s="8"/>
      <c r="E50" s="4"/>
      <c r="F50" s="4"/>
      <c r="G50" s="14"/>
      <c r="H50" s="14"/>
      <c r="I50" s="14"/>
      <c r="J50" s="14"/>
      <c r="K50" s="14"/>
    </row>
    <row r="51" spans="1:11">
      <c r="A51" s="11"/>
      <c r="B51" s="10"/>
      <c r="C51" s="8"/>
      <c r="D51" s="8"/>
      <c r="E51" s="4"/>
      <c r="F51" s="4"/>
      <c r="G51" s="14"/>
      <c r="H51" s="14"/>
      <c r="I51" s="14"/>
      <c r="J51" s="14"/>
      <c r="K51" s="14"/>
    </row>
    <row r="52" spans="1:11">
      <c r="A52" s="11"/>
      <c r="B52" s="10"/>
      <c r="C52" s="8"/>
      <c r="D52" s="8"/>
      <c r="E52" s="4"/>
      <c r="F52" s="4"/>
      <c r="G52" s="14"/>
      <c r="H52" s="14"/>
      <c r="I52" s="14"/>
      <c r="J52" s="14"/>
      <c r="K52" s="14"/>
    </row>
    <row r="53" spans="1:11">
      <c r="A53" s="11"/>
      <c r="B53" s="10"/>
      <c r="C53" s="8"/>
      <c r="D53" s="8"/>
      <c r="E53" s="4"/>
      <c r="F53" s="4"/>
      <c r="G53" s="14"/>
      <c r="H53" s="14"/>
      <c r="I53" s="14"/>
      <c r="J53" s="14"/>
      <c r="K53" s="14"/>
    </row>
    <row r="54" spans="1:11">
      <c r="A54" s="11"/>
      <c r="B54" s="10"/>
      <c r="C54" s="8"/>
      <c r="D54" s="8"/>
      <c r="E54" s="4"/>
      <c r="F54" s="4"/>
      <c r="G54" s="14"/>
      <c r="H54" s="14"/>
      <c r="I54" s="14"/>
      <c r="J54" s="14"/>
      <c r="K54" s="14"/>
    </row>
    <row r="55" spans="1:11">
      <c r="A55" s="11"/>
      <c r="B55" s="10"/>
      <c r="C55" s="8"/>
      <c r="D55" s="8"/>
      <c r="E55" s="4"/>
      <c r="F55" s="4"/>
      <c r="G55" s="14"/>
      <c r="H55" s="14"/>
      <c r="I55" s="14"/>
      <c r="J55" s="14"/>
      <c r="K55" s="14"/>
    </row>
    <row r="56" spans="1:11">
      <c r="A56" s="11"/>
      <c r="B56" s="10"/>
      <c r="C56" s="8"/>
      <c r="D56" s="8"/>
      <c r="E56" s="4"/>
      <c r="F56" s="4"/>
      <c r="G56" s="14"/>
      <c r="H56" s="14"/>
      <c r="I56" s="14"/>
      <c r="J56" s="14"/>
      <c r="K56" s="14"/>
    </row>
    <row r="57" spans="1:11">
      <c r="A57" s="11"/>
      <c r="B57" s="10"/>
      <c r="C57" s="8"/>
      <c r="D57" s="8"/>
      <c r="E57" s="4"/>
      <c r="F57" s="4"/>
      <c r="G57" s="14"/>
      <c r="H57" s="14"/>
      <c r="I57" s="14"/>
      <c r="J57" s="14"/>
      <c r="K57" s="14"/>
    </row>
    <row r="58" spans="1:11">
      <c r="A58" s="11"/>
      <c r="B58" s="10"/>
      <c r="C58" s="8"/>
      <c r="D58" s="8"/>
      <c r="E58" s="4"/>
      <c r="F58" s="4"/>
      <c r="G58" s="14"/>
      <c r="H58" s="14"/>
      <c r="I58" s="14"/>
      <c r="J58" s="14"/>
      <c r="K58" s="14"/>
    </row>
    <row r="59" spans="1:11">
      <c r="A59" s="11"/>
      <c r="B59" s="10"/>
      <c r="C59" s="8"/>
      <c r="D59" s="8"/>
      <c r="E59" s="4"/>
      <c r="F59" s="4"/>
      <c r="G59" s="14"/>
      <c r="H59" s="14"/>
      <c r="I59" s="14"/>
      <c r="J59" s="14"/>
      <c r="K59" s="14"/>
    </row>
    <row r="60" spans="1:11">
      <c r="A60" s="11"/>
      <c r="B60" s="10"/>
      <c r="C60" s="8"/>
      <c r="D60" s="8"/>
      <c r="E60" s="4"/>
      <c r="F60" s="4"/>
      <c r="G60" s="14"/>
      <c r="H60" s="14"/>
      <c r="I60" s="14"/>
      <c r="J60" s="14"/>
      <c r="K60" s="14"/>
    </row>
    <row r="61" spans="1:11">
      <c r="A61" s="11"/>
      <c r="B61" s="10"/>
      <c r="C61" s="8"/>
      <c r="D61" s="8"/>
      <c r="E61" s="4"/>
      <c r="F61" s="4"/>
      <c r="G61" s="14"/>
      <c r="H61" s="14"/>
      <c r="I61" s="14"/>
      <c r="J61" s="14"/>
      <c r="K61" s="14"/>
    </row>
    <row r="62" spans="1:11">
      <c r="A62" s="11"/>
      <c r="B62" s="10"/>
      <c r="C62" s="8"/>
      <c r="D62" s="8"/>
      <c r="E62" s="4"/>
      <c r="F62" s="4"/>
      <c r="G62" s="14"/>
      <c r="H62" s="14"/>
      <c r="I62" s="14"/>
      <c r="J62" s="14"/>
      <c r="K62" s="14"/>
    </row>
    <row r="63" spans="1:11">
      <c r="A63" s="11"/>
      <c r="B63" s="10"/>
      <c r="C63" s="8"/>
      <c r="D63" s="8"/>
      <c r="E63" s="4"/>
      <c r="F63" s="4"/>
      <c r="G63" s="14"/>
      <c r="H63" s="14"/>
      <c r="I63" s="14"/>
      <c r="J63" s="14"/>
      <c r="K63" s="14"/>
    </row>
    <row r="64" spans="1:11">
      <c r="A64" s="11"/>
      <c r="B64" s="10"/>
      <c r="C64" s="8"/>
      <c r="D64" s="8"/>
      <c r="E64" s="4"/>
      <c r="F64" s="4"/>
      <c r="G64" s="14"/>
      <c r="H64" s="14"/>
      <c r="I64" s="14"/>
      <c r="J64" s="14"/>
      <c r="K64" s="14"/>
    </row>
    <row r="65" spans="1:11">
      <c r="A65" s="11"/>
      <c r="B65" s="10"/>
      <c r="C65" s="8"/>
      <c r="D65" s="8"/>
      <c r="E65" s="4"/>
      <c r="F65" s="4"/>
      <c r="G65" s="14"/>
      <c r="H65" s="14"/>
      <c r="I65" s="14"/>
      <c r="J65" s="14"/>
      <c r="K65" s="14"/>
    </row>
    <row r="66" spans="1:11">
      <c r="A66" s="11"/>
      <c r="B66" s="10"/>
      <c r="C66" s="8"/>
      <c r="D66" s="8"/>
      <c r="E66" s="4"/>
      <c r="F66" s="4"/>
      <c r="G66" s="14"/>
      <c r="H66" s="14"/>
      <c r="I66" s="14"/>
      <c r="J66" s="14"/>
      <c r="K66" s="14"/>
    </row>
    <row r="67" spans="1:11">
      <c r="A67" s="11"/>
      <c r="B67" s="10"/>
      <c r="C67" s="8"/>
      <c r="D67" s="8"/>
      <c r="E67" s="4"/>
      <c r="F67" s="4"/>
      <c r="G67" s="14"/>
      <c r="H67" s="14"/>
      <c r="I67" s="14"/>
      <c r="J67" s="14"/>
      <c r="K67" s="14"/>
    </row>
    <row r="68" spans="1:11">
      <c r="A68" s="11"/>
      <c r="B68" s="10"/>
      <c r="C68" s="8"/>
      <c r="D68" s="8"/>
      <c r="E68" s="4"/>
      <c r="F68" s="4"/>
      <c r="G68" s="14"/>
      <c r="H68" s="14"/>
      <c r="I68" s="14"/>
      <c r="J68" s="14"/>
      <c r="K68" s="14"/>
    </row>
    <row r="69" spans="1:11">
      <c r="A69" s="11"/>
      <c r="B69" s="10"/>
      <c r="C69" s="8"/>
      <c r="D69" s="8"/>
      <c r="E69" s="4"/>
      <c r="F69" s="4"/>
      <c r="G69" s="14"/>
      <c r="H69" s="14"/>
      <c r="I69" s="14"/>
      <c r="J69" s="14"/>
      <c r="K69" s="14"/>
    </row>
    <row r="70" spans="1:11">
      <c r="A70" s="11"/>
      <c r="B70" s="10"/>
      <c r="C70" s="8"/>
      <c r="D70" s="8"/>
      <c r="E70" s="4"/>
      <c r="F70" s="4"/>
      <c r="G70" s="14"/>
      <c r="H70" s="14"/>
      <c r="I70" s="14"/>
      <c r="J70" s="14"/>
      <c r="K70" s="14"/>
    </row>
    <row r="71" spans="1:11">
      <c r="A71" s="11"/>
      <c r="B71" s="10"/>
      <c r="C71" s="8"/>
      <c r="D71" s="8"/>
      <c r="E71" s="4"/>
      <c r="F71" s="4"/>
      <c r="G71" s="14"/>
      <c r="H71" s="14"/>
      <c r="I71" s="14"/>
      <c r="J71" s="14"/>
      <c r="K71" s="14"/>
    </row>
    <row r="72" spans="1:11">
      <c r="A72" s="11"/>
      <c r="B72" s="10"/>
      <c r="C72" s="8"/>
      <c r="D72" s="8"/>
      <c r="E72" s="4"/>
      <c r="F72" s="4"/>
      <c r="G72" s="14"/>
      <c r="H72" s="14"/>
      <c r="I72" s="14"/>
      <c r="J72" s="14"/>
      <c r="K72" s="14"/>
    </row>
    <row r="73" spans="1:11">
      <c r="A73" s="11"/>
      <c r="B73" s="10"/>
      <c r="C73" s="8"/>
      <c r="D73" s="8"/>
      <c r="E73" s="4"/>
      <c r="F73" s="4"/>
      <c r="G73" s="14"/>
      <c r="H73" s="14"/>
      <c r="I73" s="14"/>
      <c r="J73" s="14"/>
      <c r="K73" s="14"/>
    </row>
    <row r="74" spans="1:11">
      <c r="A74" s="11"/>
      <c r="B74" s="10"/>
      <c r="C74" s="8"/>
      <c r="D74" s="8"/>
      <c r="E74" s="4"/>
      <c r="F74" s="4"/>
      <c r="G74" s="14"/>
      <c r="H74" s="14"/>
      <c r="I74" s="14"/>
      <c r="J74" s="14"/>
      <c r="K74" s="14"/>
    </row>
    <row r="75" spans="1:11">
      <c r="A75" s="11"/>
      <c r="B75" s="10"/>
      <c r="C75" s="8"/>
      <c r="D75" s="8"/>
      <c r="E75" s="4"/>
      <c r="F75" s="4"/>
      <c r="G75" s="14"/>
      <c r="H75" s="14"/>
      <c r="I75" s="14"/>
      <c r="J75" s="14"/>
      <c r="K75" s="14"/>
    </row>
    <row r="76" spans="1:11">
      <c r="A76" s="11"/>
      <c r="B76" s="10"/>
      <c r="C76" s="8"/>
      <c r="D76" s="8"/>
      <c r="E76" s="4"/>
      <c r="F76" s="4"/>
      <c r="G76" s="14"/>
      <c r="H76" s="14"/>
      <c r="I76" s="14"/>
      <c r="J76" s="14"/>
      <c r="K76" s="14"/>
    </row>
    <row r="77" spans="1:11">
      <c r="A77" s="11"/>
      <c r="B77" s="10"/>
      <c r="C77" s="8"/>
      <c r="D77" s="8"/>
      <c r="E77" s="4"/>
      <c r="F77" s="4"/>
      <c r="G77" s="14"/>
      <c r="H77" s="14"/>
      <c r="I77" s="14"/>
      <c r="J77" s="14"/>
      <c r="K77" s="14"/>
    </row>
    <row r="78" spans="1:11">
      <c r="A78" s="11"/>
      <c r="B78" s="10"/>
      <c r="C78" s="8"/>
      <c r="D78" s="8"/>
      <c r="E78" s="4"/>
      <c r="F78" s="4"/>
      <c r="G78" s="14"/>
      <c r="H78" s="14"/>
      <c r="I78" s="14"/>
      <c r="J78" s="14"/>
      <c r="K78" s="14"/>
    </row>
    <row r="79" spans="1:11">
      <c r="A79" s="11"/>
      <c r="B79" s="10"/>
      <c r="C79" s="8"/>
      <c r="D79" s="8"/>
      <c r="E79" s="4"/>
      <c r="F79" s="4"/>
      <c r="G79" s="14"/>
      <c r="H79" s="14"/>
      <c r="I79" s="14"/>
      <c r="J79" s="14"/>
      <c r="K79" s="14"/>
    </row>
    <row r="80" spans="1:11">
      <c r="A80" s="11"/>
      <c r="B80" s="10"/>
      <c r="C80" s="8"/>
      <c r="D80" s="8"/>
      <c r="E80" s="4"/>
      <c r="F80" s="4"/>
      <c r="G80" s="14"/>
      <c r="H80" s="14"/>
      <c r="I80" s="14"/>
      <c r="J80" s="14"/>
      <c r="K80" s="14"/>
    </row>
    <row r="81" spans="1:11">
      <c r="A81" s="11"/>
      <c r="B81" s="10"/>
      <c r="C81" s="8"/>
      <c r="D81" s="8"/>
      <c r="E81" s="4"/>
      <c r="F81" s="4"/>
      <c r="G81" s="14"/>
      <c r="H81" s="14"/>
      <c r="I81" s="14"/>
      <c r="J81" s="14"/>
      <c r="K81" s="14"/>
    </row>
    <row r="82" spans="1:11">
      <c r="A82" s="11"/>
      <c r="B82" s="10"/>
      <c r="C82" s="8"/>
      <c r="D82" s="8"/>
      <c r="E82" s="4"/>
      <c r="F82" s="4"/>
      <c r="G82" s="14"/>
      <c r="H82" s="14"/>
      <c r="I82" s="14"/>
      <c r="J82" s="14"/>
      <c r="K82" s="14"/>
    </row>
    <row r="83" spans="1:11">
      <c r="A83" s="11"/>
      <c r="B83" s="10"/>
      <c r="C83" s="8"/>
      <c r="D83" s="8"/>
      <c r="E83" s="4"/>
      <c r="F83" s="4"/>
      <c r="G83" s="14"/>
      <c r="H83" s="14"/>
      <c r="I83" s="14"/>
      <c r="J83" s="14"/>
      <c r="K83" s="14"/>
    </row>
    <row r="84" spans="1:11">
      <c r="A84" s="11"/>
      <c r="B84" s="10"/>
      <c r="C84" s="8"/>
      <c r="D84" s="8"/>
      <c r="E84" s="4"/>
      <c r="F84" s="4"/>
      <c r="G84" s="14"/>
      <c r="H84" s="14"/>
      <c r="I84" s="14"/>
      <c r="J84" s="14"/>
      <c r="K84" s="14"/>
    </row>
    <row r="85" spans="1:11">
      <c r="A85" s="11"/>
      <c r="B85" s="10"/>
      <c r="C85" s="8"/>
      <c r="D85" s="8"/>
      <c r="E85" s="4"/>
      <c r="F85" s="4"/>
      <c r="G85" s="14"/>
      <c r="H85" s="14"/>
      <c r="I85" s="14"/>
      <c r="J85" s="14"/>
      <c r="K85" s="14"/>
    </row>
    <row r="86" spans="1:11">
      <c r="A86" s="11"/>
      <c r="B86" s="10"/>
      <c r="C86" s="8"/>
      <c r="D86" s="8"/>
      <c r="E86" s="4"/>
      <c r="F86" s="4"/>
      <c r="G86" s="14"/>
      <c r="H86" s="14"/>
      <c r="I86" s="14"/>
      <c r="J86" s="14"/>
      <c r="K86" s="14"/>
    </row>
    <row r="87" spans="1:11">
      <c r="A87" s="11"/>
      <c r="B87" s="10"/>
      <c r="C87" s="8"/>
      <c r="D87" s="8"/>
      <c r="E87" s="4"/>
      <c r="F87" s="4"/>
      <c r="G87" s="14"/>
      <c r="H87" s="14"/>
      <c r="I87" s="14"/>
      <c r="J87" s="14"/>
      <c r="K87" s="14"/>
    </row>
    <row r="88" spans="1:11">
      <c r="A88" s="11"/>
      <c r="B88" s="10"/>
      <c r="C88" s="8"/>
      <c r="D88" s="8"/>
      <c r="E88" s="4"/>
      <c r="F88" s="4"/>
      <c r="G88" s="14"/>
      <c r="H88" s="14"/>
      <c r="I88" s="14"/>
      <c r="J88" s="14"/>
      <c r="K88" s="14"/>
    </row>
    <row r="89" spans="1:11">
      <c r="A89" s="11"/>
      <c r="B89" s="10"/>
      <c r="C89" s="8"/>
      <c r="D89" s="8"/>
      <c r="E89" s="4"/>
      <c r="F89" s="4"/>
      <c r="G89" s="14"/>
      <c r="H89" s="14"/>
      <c r="I89" s="14"/>
      <c r="J89" s="14"/>
      <c r="K89" s="14"/>
    </row>
    <row r="90" spans="1:11">
      <c r="A90" s="11"/>
      <c r="B90" s="10"/>
      <c r="C90" s="8"/>
      <c r="D90" s="8"/>
      <c r="E90" s="4"/>
      <c r="F90" s="4"/>
      <c r="G90" s="14"/>
      <c r="H90" s="14"/>
      <c r="I90" s="14"/>
      <c r="J90" s="14"/>
      <c r="K90" s="14"/>
    </row>
    <row r="91" spans="1:11">
      <c r="A91" s="11"/>
      <c r="B91" s="10"/>
      <c r="C91" s="8"/>
      <c r="D91" s="8"/>
      <c r="E91" s="4"/>
      <c r="F91" s="4"/>
      <c r="G91" s="14"/>
      <c r="H91" s="14"/>
      <c r="I91" s="14"/>
      <c r="J91" s="14"/>
      <c r="K91" s="14"/>
    </row>
    <row r="92" spans="1:11">
      <c r="A92" s="11"/>
      <c r="B92" s="10"/>
      <c r="C92" s="8"/>
      <c r="D92" s="8"/>
      <c r="E92" s="4"/>
      <c r="F92" s="4"/>
      <c r="G92" s="14"/>
      <c r="H92" s="14"/>
      <c r="I92" s="14"/>
      <c r="J92" s="14"/>
      <c r="K92" s="14"/>
    </row>
    <row r="93" spans="1:11">
      <c r="A93" s="11"/>
      <c r="B93" s="10"/>
      <c r="C93" s="8"/>
      <c r="D93" s="8"/>
      <c r="E93" s="4"/>
      <c r="F93" s="4"/>
      <c r="G93" s="14"/>
      <c r="H93" s="14"/>
      <c r="I93" s="14"/>
      <c r="J93" s="14"/>
      <c r="K93" s="14"/>
    </row>
    <row r="94" spans="1:11">
      <c r="A94" s="11"/>
      <c r="B94" s="10"/>
      <c r="C94" s="8"/>
      <c r="D94" s="8"/>
      <c r="E94" s="4"/>
      <c r="F94" s="4"/>
      <c r="G94" s="14"/>
      <c r="H94" s="14"/>
      <c r="I94" s="14"/>
      <c r="J94" s="14"/>
      <c r="K94" s="14"/>
    </row>
    <row r="95" spans="1:11">
      <c r="A95" s="11"/>
      <c r="B95" s="10"/>
      <c r="C95" s="8"/>
      <c r="D95" s="8"/>
      <c r="E95" s="4"/>
      <c r="F95" s="4"/>
      <c r="G95" s="15"/>
      <c r="H95" s="15"/>
      <c r="I95" s="15"/>
      <c r="J95" s="15"/>
      <c r="K95" s="15"/>
    </row>
    <row r="96" spans="1:11">
      <c r="A96" s="11"/>
      <c r="B96" s="10"/>
      <c r="C96" s="8"/>
      <c r="D96" s="8"/>
      <c r="E96" s="4"/>
      <c r="F96" s="4"/>
      <c r="G96" s="15"/>
      <c r="H96" s="15"/>
      <c r="I96" s="15"/>
      <c r="J96" s="15"/>
      <c r="K96" s="15"/>
    </row>
    <row r="97" spans="1:11">
      <c r="A97" s="11"/>
      <c r="B97" s="10"/>
      <c r="C97" s="8"/>
      <c r="D97" s="8"/>
      <c r="E97" s="4"/>
      <c r="F97" s="4"/>
      <c r="G97" s="15"/>
      <c r="H97" s="15"/>
      <c r="I97" s="15"/>
      <c r="J97" s="15"/>
      <c r="K97" s="15"/>
    </row>
    <row r="98" spans="1:11">
      <c r="A98" s="11"/>
      <c r="B98" s="10"/>
      <c r="C98" s="8"/>
      <c r="D98" s="8"/>
      <c r="E98" s="4"/>
      <c r="F98" s="4"/>
      <c r="G98" s="15"/>
      <c r="H98" s="15"/>
      <c r="I98" s="15"/>
      <c r="J98" s="15"/>
      <c r="K98" s="15"/>
    </row>
    <row r="99" spans="1:11">
      <c r="A99" s="11"/>
      <c r="B99" s="10"/>
      <c r="C99" s="8"/>
      <c r="D99" s="8"/>
      <c r="E99" s="4"/>
      <c r="F99" s="4"/>
      <c r="G99" s="15"/>
      <c r="H99" s="15"/>
      <c r="I99" s="15"/>
      <c r="J99" s="15"/>
      <c r="K99" s="15"/>
    </row>
    <row r="100" spans="1:11">
      <c r="A100" s="11"/>
      <c r="B100" s="10"/>
      <c r="C100" s="8"/>
      <c r="D100" s="8"/>
      <c r="E100" s="4"/>
      <c r="F100" s="4"/>
      <c r="G100" s="15"/>
      <c r="H100" s="15"/>
      <c r="I100" s="15"/>
      <c r="J100" s="15"/>
      <c r="K100" s="15"/>
    </row>
  </sheetData>
  <sheetProtection algorithmName="SHA-512" hashValue="gmaZ5nSAU+LAhY+i4v20aLJgi8HEsIqsZ1r8CzpDmI4nSfB06hKbHxYPBfNQ/Poe2lzH1wyCds2e7/I8Q/zeNQ==" saltValue="uh/EZI4rvMtXudKFk7ETEw==" spinCount="100000" sheet="1" objects="1" scenarios="1"/>
  <phoneticPr fontId="3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F18284F-ACB8-4C1D-9FC7-0CD7CB10CAED}">
          <x14:formula1>
            <xm:f>Config!$D$1:$D$4</xm:f>
          </x14:formula1>
          <xm:sqref>G1:K1048576</xm:sqref>
        </x14:dataValidation>
        <x14:dataValidation type="list" allowBlank="1" showInputMessage="1" showErrorMessage="1" xr:uid="{ED6FE394-1F7E-441C-8CD3-D48DC8AF2DAD}">
          <x14:formula1>
            <xm:f>Config!$C$1:$C$10</xm:f>
          </x14:formula1>
          <xm:sqref>D1:D1048576</xm:sqref>
        </x14:dataValidation>
        <x14:dataValidation type="list" allowBlank="1" showInputMessage="1" showErrorMessage="1" xr:uid="{E6CB418A-E1EA-40AE-9AB1-35281AC8F6BA}">
          <x14:formula1>
            <xm:f>Config!$A$1:$A$5</xm:f>
          </x14:formula1>
          <xm:sqref>E1:E1048576</xm:sqref>
        </x14:dataValidation>
        <x14:dataValidation type="list" allowBlank="1" showInputMessage="1" showErrorMessage="1" xr:uid="{B9347C2F-B7DF-48C1-95C7-B9B4300F81AA}">
          <x14:formula1>
            <xm:f>Config!$B$1:$B$18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F54BC-86F7-4DB2-86B3-A16A6B8DE632}">
  <sheetPr codeName="Hoja2"/>
  <dimension ref="A1:D18"/>
  <sheetViews>
    <sheetView workbookViewId="0">
      <selection activeCell="C10" sqref="C10"/>
    </sheetView>
  </sheetViews>
  <sheetFormatPr baseColWidth="10" defaultRowHeight="14.4"/>
  <cols>
    <col min="3" max="3" width="39.88671875" customWidth="1"/>
  </cols>
  <sheetData>
    <row r="1" spans="1:4">
      <c r="A1" t="s">
        <v>11</v>
      </c>
      <c r="B1" t="s">
        <v>12</v>
      </c>
      <c r="C1" t="s">
        <v>13</v>
      </c>
      <c r="D1">
        <v>1</v>
      </c>
    </row>
    <row r="2" spans="1:4">
      <c r="A2" t="s">
        <v>14</v>
      </c>
      <c r="B2" t="s">
        <v>15</v>
      </c>
      <c r="C2" t="s">
        <v>16</v>
      </c>
      <c r="D2">
        <v>2</v>
      </c>
    </row>
    <row r="3" spans="1:4">
      <c r="A3" t="s">
        <v>17</v>
      </c>
      <c r="B3" t="s">
        <v>18</v>
      </c>
      <c r="C3" t="s">
        <v>19</v>
      </c>
      <c r="D3">
        <v>3</v>
      </c>
    </row>
    <row r="4" spans="1:4">
      <c r="A4" t="s">
        <v>20</v>
      </c>
      <c r="B4" t="s">
        <v>21</v>
      </c>
      <c r="C4" t="s">
        <v>22</v>
      </c>
      <c r="D4">
        <v>4</v>
      </c>
    </row>
    <row r="5" spans="1:4">
      <c r="A5" t="s">
        <v>23</v>
      </c>
      <c r="B5" t="s">
        <v>24</v>
      </c>
      <c r="C5" t="s">
        <v>25</v>
      </c>
    </row>
    <row r="6" spans="1:4">
      <c r="B6" t="s">
        <v>26</v>
      </c>
      <c r="C6" t="s">
        <v>27</v>
      </c>
    </row>
    <row r="7" spans="1:4">
      <c r="B7" t="s">
        <v>28</v>
      </c>
      <c r="C7" t="s">
        <v>29</v>
      </c>
    </row>
    <row r="8" spans="1:4">
      <c r="B8" t="s">
        <v>30</v>
      </c>
      <c r="C8" t="s">
        <v>31</v>
      </c>
    </row>
    <row r="9" spans="1:4">
      <c r="B9" t="s">
        <v>32</v>
      </c>
      <c r="C9" t="s">
        <v>33</v>
      </c>
    </row>
    <row r="10" spans="1:4">
      <c r="B10" t="s">
        <v>34</v>
      </c>
      <c r="C10" t="s">
        <v>35</v>
      </c>
    </row>
    <row r="11" spans="1:4">
      <c r="B11" t="s">
        <v>36</v>
      </c>
    </row>
    <row r="12" spans="1:4">
      <c r="B12" t="s">
        <v>37</v>
      </c>
    </row>
    <row r="13" spans="1:4">
      <c r="B13" t="s">
        <v>38</v>
      </c>
    </row>
    <row r="14" spans="1:4">
      <c r="B14" t="s">
        <v>39</v>
      </c>
    </row>
    <row r="15" spans="1:4">
      <c r="B15" t="s">
        <v>40</v>
      </c>
    </row>
    <row r="16" spans="1:4">
      <c r="B16" t="s">
        <v>41</v>
      </c>
    </row>
    <row r="17" spans="2:2">
      <c r="B17" t="s">
        <v>42</v>
      </c>
    </row>
    <row r="18" spans="2:2">
      <c r="B18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CA265-F1B4-4BD5-B6CE-D0FFCD7F4842}">
  <sheetPr codeName="Hoja3"/>
  <dimension ref="A1:J38"/>
  <sheetViews>
    <sheetView topLeftCell="A8" workbookViewId="0">
      <selection activeCell="A34" sqref="A34"/>
    </sheetView>
  </sheetViews>
  <sheetFormatPr baseColWidth="10" defaultRowHeight="14.4"/>
  <cols>
    <col min="1" max="1" width="16.5546875" bestFit="1" customWidth="1"/>
    <col min="2" max="2" width="23.77734375" bestFit="1" customWidth="1"/>
  </cols>
  <sheetData>
    <row r="1" spans="1:10">
      <c r="A1" s="1" t="s">
        <v>6</v>
      </c>
      <c r="B1" t="s">
        <v>46</v>
      </c>
      <c r="J1">
        <f>IFERROR(GETPIVOTDATA("Cuenta de DNI del Docente",$A$1), 0)</f>
        <v>10</v>
      </c>
    </row>
    <row r="2" spans="1:10">
      <c r="A2" t="s">
        <v>59</v>
      </c>
      <c r="B2" s="26">
        <v>2</v>
      </c>
    </row>
    <row r="3" spans="1:10">
      <c r="A3" t="s">
        <v>57</v>
      </c>
      <c r="B3" s="26">
        <v>3</v>
      </c>
    </row>
    <row r="4" spans="1:10">
      <c r="A4" t="s">
        <v>56</v>
      </c>
      <c r="B4" s="26">
        <v>3</v>
      </c>
    </row>
    <row r="5" spans="1:10">
      <c r="A5" t="s">
        <v>58</v>
      </c>
      <c r="B5" s="26">
        <v>2</v>
      </c>
    </row>
    <row r="6" spans="1:10">
      <c r="A6" t="s">
        <v>45</v>
      </c>
      <c r="B6" s="26">
        <v>10</v>
      </c>
    </row>
    <row r="9" spans="1:10">
      <c r="A9" s="1" t="s">
        <v>44</v>
      </c>
      <c r="B9" t="s">
        <v>46</v>
      </c>
      <c r="J9">
        <f>IFERROR(GETPIVOTDATA("Cuenta de DNI del Docente",$A$9), 0)</f>
        <v>10</v>
      </c>
    </row>
    <row r="10" spans="1:10">
      <c r="A10" s="2" t="s">
        <v>59</v>
      </c>
      <c r="B10" s="26">
        <v>2</v>
      </c>
    </row>
    <row r="11" spans="1:10">
      <c r="A11" s="2" t="s">
        <v>57</v>
      </c>
      <c r="B11" s="26">
        <v>5</v>
      </c>
    </row>
    <row r="12" spans="1:10">
      <c r="A12" s="2" t="s">
        <v>56</v>
      </c>
      <c r="B12" s="26">
        <v>2</v>
      </c>
    </row>
    <row r="13" spans="1:10">
      <c r="A13" s="2" t="s">
        <v>58</v>
      </c>
      <c r="B13" s="26">
        <v>1</v>
      </c>
    </row>
    <row r="14" spans="1:10">
      <c r="A14" s="2" t="s">
        <v>45</v>
      </c>
      <c r="B14" s="26">
        <v>10</v>
      </c>
    </row>
    <row r="17" spans="1:10">
      <c r="A17" s="1" t="s">
        <v>44</v>
      </c>
      <c r="B17" t="s">
        <v>46</v>
      </c>
      <c r="J17">
        <f>IFERROR(GETPIVOTDATA("Cuenta de DNI del Docente",$A$17), 0)</f>
        <v>10</v>
      </c>
    </row>
    <row r="18" spans="1:10">
      <c r="A18" s="2" t="s">
        <v>59</v>
      </c>
      <c r="B18" s="26">
        <v>2</v>
      </c>
    </row>
    <row r="19" spans="1:10">
      <c r="A19" s="2" t="s">
        <v>57</v>
      </c>
      <c r="B19" s="26">
        <v>5</v>
      </c>
    </row>
    <row r="20" spans="1:10">
      <c r="A20" s="2" t="s">
        <v>56</v>
      </c>
      <c r="B20" s="26">
        <v>2</v>
      </c>
    </row>
    <row r="21" spans="1:10">
      <c r="A21" s="2" t="s">
        <v>58</v>
      </c>
      <c r="B21" s="26">
        <v>1</v>
      </c>
    </row>
    <row r="22" spans="1:10">
      <c r="A22" s="2" t="s">
        <v>45</v>
      </c>
      <c r="B22" s="26">
        <v>10</v>
      </c>
    </row>
    <row r="25" spans="1:10">
      <c r="A25" s="1" t="s">
        <v>44</v>
      </c>
      <c r="B25" t="s">
        <v>46</v>
      </c>
      <c r="J25">
        <f>IFERROR(GETPIVOTDATA("Cuenta de DNI del Docente",$A$25), 0)</f>
        <v>10</v>
      </c>
    </row>
    <row r="26" spans="1:10">
      <c r="A26" s="2" t="s">
        <v>59</v>
      </c>
      <c r="B26" s="26">
        <v>2</v>
      </c>
    </row>
    <row r="27" spans="1:10">
      <c r="A27" s="2" t="s">
        <v>57</v>
      </c>
      <c r="B27" s="26">
        <v>2</v>
      </c>
    </row>
    <row r="28" spans="1:10">
      <c r="A28" s="2" t="s">
        <v>56</v>
      </c>
      <c r="B28" s="26">
        <v>2</v>
      </c>
    </row>
    <row r="29" spans="1:10">
      <c r="A29" s="2" t="s">
        <v>58</v>
      </c>
      <c r="B29" s="26">
        <v>4</v>
      </c>
    </row>
    <row r="30" spans="1:10">
      <c r="A30" s="2" t="s">
        <v>45</v>
      </c>
      <c r="B30" s="26">
        <v>10</v>
      </c>
    </row>
    <row r="33" spans="1:10">
      <c r="A33" s="1" t="s">
        <v>44</v>
      </c>
      <c r="B33" t="s">
        <v>46</v>
      </c>
      <c r="J33">
        <f>IFERROR(GETPIVOTDATA("Cuenta de DNI del Docente",$A$33), 0)</f>
        <v>10</v>
      </c>
    </row>
    <row r="34" spans="1:10">
      <c r="A34" s="2" t="s">
        <v>59</v>
      </c>
      <c r="B34" s="26">
        <v>3</v>
      </c>
    </row>
    <row r="35" spans="1:10">
      <c r="A35" s="2" t="s">
        <v>57</v>
      </c>
      <c r="B35" s="26">
        <v>2</v>
      </c>
    </row>
    <row r="36" spans="1:10">
      <c r="A36" s="2" t="s">
        <v>56</v>
      </c>
      <c r="B36" s="26">
        <v>2</v>
      </c>
    </row>
    <row r="37" spans="1:10">
      <c r="A37" s="2" t="s">
        <v>58</v>
      </c>
      <c r="B37" s="26">
        <v>3</v>
      </c>
    </row>
    <row r="38" spans="1:10">
      <c r="A38" s="2" t="s">
        <v>45</v>
      </c>
      <c r="B38" s="26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1968C-DBDC-443C-997E-A07926906F51}">
  <sheetPr codeName="Hoja4"/>
  <dimension ref="A1:R2"/>
  <sheetViews>
    <sheetView showGridLines="0" showRowColHeaders="0" topLeftCell="A4" zoomScale="91" zoomScaleNormal="100" workbookViewId="0">
      <selection activeCell="P29" sqref="P29"/>
    </sheetView>
  </sheetViews>
  <sheetFormatPr baseColWidth="10" defaultColWidth="11.44140625" defaultRowHeight="14.4"/>
  <cols>
    <col min="1" max="16384" width="11.44140625" style="17"/>
  </cols>
  <sheetData>
    <row r="1" spans="1:18" ht="55.5" customHeight="1">
      <c r="A1" s="24" t="s">
        <v>47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</row>
    <row r="2" spans="1:18" ht="16.5" customHeight="1"/>
  </sheetData>
  <sheetProtection algorithmName="SHA-512" hashValue="DwtuWHORgO6ngXKDkvWKKRSvwZncwxhLXu3E6xyL3vxdznbFo67IxrW/vWE0o1K51qqL/0AMGpUWFBfaAGX7CQ==" saltValue="vSI7NVOv8mgvAIYEtdy7HA==" spinCount="100000" sheet="1" objects="1" selectLockedCells="1" autoFilter="0" pivotTables="0"/>
  <mergeCells count="1">
    <mergeCell ref="A1:R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brirLogin">
                <anchor moveWithCells="1" sizeWithCells="1">
                  <from>
                    <xdr:col>17</xdr:col>
                    <xdr:colOff>617220</xdr:colOff>
                    <xdr:row>34</xdr:row>
                    <xdr:rowOff>0</xdr:rowOff>
                  </from>
                  <to>
                    <xdr:col>19</xdr:col>
                    <xdr:colOff>464820</xdr:colOff>
                    <xdr:row>35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BD_Monitoreo</vt:lpstr>
      <vt:lpstr>Config</vt:lpstr>
      <vt:lpstr>Procesamiento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TIC-2024</dc:creator>
  <cp:lastModifiedBy>Jose Antonio Malma Cordero</cp:lastModifiedBy>
  <dcterms:created xsi:type="dcterms:W3CDTF">2026-04-06T18:24:46Z</dcterms:created>
  <dcterms:modified xsi:type="dcterms:W3CDTF">2026-04-22T00:20:08Z</dcterms:modified>
</cp:coreProperties>
</file>